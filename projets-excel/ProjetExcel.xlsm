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atr1">Sheet2!$I$100:$J$106</definedName>
    <definedName name="Matr10">Sheet2!$BT$100:$BU$106</definedName>
    <definedName name="Matr2">Sheet2!$P$100:$Q$106</definedName>
    <definedName name="Matr3">Sheet2!$W$100:$X$106</definedName>
    <definedName name="Matr4">Sheet2!$AD$100:$AE$106</definedName>
    <definedName name="Matr5">Sheet2!$AK$100:$AL$106</definedName>
    <definedName name="Matr6">Sheet2!$AR$100:$AS$106</definedName>
    <definedName name="Matr7">Sheet2!$AY$100:$AZ$106</definedName>
    <definedName name="Matr8">Sheet2!$BF$100:$BG$106</definedName>
    <definedName name="Matr9">Sheet2!$BM$100:$BN$106</definedName>
    <definedName name="Matrice1">Sheet1!$D$5:$J$13</definedName>
    <definedName name="Matrice10">Sheet1!$BO$5:$BU$13</definedName>
    <definedName name="Matrice2">Sheet1!$K$5:$Q$13</definedName>
    <definedName name="Matrice3">Sheet1!$R$5:$X$13</definedName>
    <definedName name="Matrice4">Sheet1!$Y$5:$AE$13</definedName>
    <definedName name="Matrice5">Sheet1!$AF$5:$AL$13</definedName>
    <definedName name="Matrice6">Sheet1!$AM$5:$AS$13</definedName>
    <definedName name="Matrice7">Sheet1!$AT$5:$AZ$13</definedName>
    <definedName name="Matrice8">Sheet1!$BA$5:$BG$13</definedName>
    <definedName name="Matrice9">Sheet1!$BH$5:$BN$13</definedName>
    <definedName name="RefCharCharNumber">Sheet2!$CT$23:$CT$34</definedName>
    <definedName name="RefCharNamedRangeCharValue">Sheet2!$CV$23:$CV$34</definedName>
    <definedName name="RefCharNamedRangeRange">Sheet2!$CX$23:$CX$34</definedName>
    <definedName name="RefCharTotalCharNumber">Sheet2!$CT$21</definedName>
    <definedName name="Refe1">Sheet2!$I$35:$J$41</definedName>
    <definedName name="Refe10">Sheet2!$BT$35:$BU$41</definedName>
    <definedName name="Refe11">Sheet2!$CA$35:$CB$41</definedName>
    <definedName name="Refe12">Sheet2!$CH$35:$CI$41</definedName>
    <definedName name="Refe2">Sheet2!$P$35:$Q$41</definedName>
    <definedName name="Refe3">Sheet2!$W$35:$X$41</definedName>
    <definedName name="Refe4">Sheet2!$AD$35:$AE$41</definedName>
    <definedName name="Refe5">Sheet2!$AK$35:$AL$41</definedName>
    <definedName name="Refe6">Sheet2!$AR$35:$AS$41</definedName>
    <definedName name="Refe7">Sheet2!$AY$35:$AZ$41</definedName>
    <definedName name="Refe8">Sheet2!$BF$35:$BG$41</definedName>
    <definedName name="Refe9">Sheet2!$BM$35:$BN$41</definedName>
    <definedName name="Reference1">Sheet2!$F$5:$L$13</definedName>
    <definedName name="Reference10">Sheet2!$BQ$5:$BW$13</definedName>
    <definedName name="Reference11">Sheet2!$BX$5:$CD$13</definedName>
    <definedName name="Reference12">Sheet2!$CE$5:$CK$13</definedName>
    <definedName name="Reference2">Sheet2!$M$5:$S$13</definedName>
    <definedName name="Reference3">Sheet2!$T$5:$Z$13</definedName>
    <definedName name="Reference4">Sheet2!$AA$5:$AG$13</definedName>
    <definedName name="Reference5">Sheet2!$AH$5:$AN$13</definedName>
    <definedName name="Reference6">Sheet2!$AO$5:$AU$13</definedName>
    <definedName name="Reference7">Sheet2!$AV$5:$BB$13</definedName>
    <definedName name="Reference8">Sheet2!$BC$5:$BI$13</definedName>
    <definedName name="Reference9">Sheet2!$BJ$5:$BP$13</definedName>
    <definedName name="strToProcessCharNumber">Sheet1!$D$61:$D$70</definedName>
    <definedName name="strToProcessRange">Sheet1!$F$61:$F$70</definedName>
    <definedName name="strToProcessTotalCharNumber">Sheet1!$D$58</definedName>
    <definedName name="ValeurX">Sheet1!$D$4:$J$4</definedName>
    <definedName name="ValeurY">Sheet1!$C$5:$C$13</definedName>
  </definedNames>
  <calcPr calcId="152511"/>
</workbook>
</file>

<file path=xl/calcChain.xml><?xml version="1.0" encoding="utf-8"?>
<calcChain xmlns="http://schemas.openxmlformats.org/spreadsheetml/2006/main">
  <c r="O18" i="3" l="1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N37" i="3"/>
  <c r="N19" i="3"/>
  <c r="O19" i="3"/>
  <c r="O31" i="3" s="1"/>
  <c r="P19" i="3"/>
  <c r="P31" i="3" s="1"/>
  <c r="Q19" i="3"/>
  <c r="Q31" i="3" s="1"/>
  <c r="R19" i="3"/>
  <c r="R31" i="3" s="1"/>
  <c r="S19" i="3"/>
  <c r="S31" i="3" s="1"/>
  <c r="T19" i="3"/>
  <c r="T31" i="3" s="1"/>
  <c r="U19" i="3"/>
  <c r="U31" i="3" s="1"/>
  <c r="V19" i="3"/>
  <c r="V31" i="3" s="1"/>
  <c r="W19" i="3"/>
  <c r="W31" i="3" s="1"/>
  <c r="X19" i="3"/>
  <c r="X31" i="3" s="1"/>
  <c r="Y19" i="3"/>
  <c r="Y31" i="3" s="1"/>
  <c r="Z19" i="3"/>
  <c r="Z31" i="3" s="1"/>
  <c r="AA19" i="3"/>
  <c r="AA31" i="3" s="1"/>
  <c r="AB19" i="3"/>
  <c r="AB31" i="3" s="1"/>
  <c r="AC19" i="3"/>
  <c r="AC31" i="3" s="1"/>
  <c r="AD19" i="3"/>
  <c r="AD31" i="3" s="1"/>
  <c r="AE19" i="3"/>
  <c r="AE31" i="3" s="1"/>
  <c r="AF19" i="3"/>
  <c r="AF31" i="3" s="1"/>
  <c r="AG19" i="3"/>
  <c r="AG31" i="3" s="1"/>
  <c r="AH19" i="3"/>
  <c r="AH31" i="3" s="1"/>
  <c r="AI19" i="3"/>
  <c r="AI31" i="3" s="1"/>
  <c r="AJ19" i="3"/>
  <c r="AJ31" i="3" s="1"/>
  <c r="AK19" i="3"/>
  <c r="AK31" i="3" s="1"/>
  <c r="AL19" i="3"/>
  <c r="AL31" i="3" s="1"/>
  <c r="AM19" i="3"/>
  <c r="AM31" i="3" s="1"/>
  <c r="AN19" i="3"/>
  <c r="AN31" i="3" s="1"/>
  <c r="AO19" i="3"/>
  <c r="AO31" i="3" s="1"/>
  <c r="AP19" i="3"/>
  <c r="AP31" i="3" s="1"/>
  <c r="AQ19" i="3"/>
  <c r="AQ31" i="3" s="1"/>
  <c r="AR19" i="3"/>
  <c r="AR31" i="3" s="1"/>
  <c r="AS19" i="3"/>
  <c r="AS31" i="3" s="1"/>
  <c r="AT19" i="3"/>
  <c r="AT31" i="3" s="1"/>
  <c r="AU19" i="3"/>
  <c r="AU31" i="3" s="1"/>
  <c r="AV19" i="3"/>
  <c r="AV31" i="3" s="1"/>
  <c r="AW19" i="3"/>
  <c r="AW31" i="3" s="1"/>
  <c r="AX19" i="3"/>
  <c r="AX31" i="3" s="1"/>
  <c r="AY19" i="3"/>
  <c r="AY31" i="3" s="1"/>
  <c r="AZ19" i="3"/>
  <c r="AZ31" i="3" s="1"/>
  <c r="BA19" i="3"/>
  <c r="BA31" i="3" s="1"/>
  <c r="BB19" i="3"/>
  <c r="BB31" i="3" s="1"/>
  <c r="BC19" i="3"/>
  <c r="BC31" i="3" s="1"/>
  <c r="BD19" i="3"/>
  <c r="BD31" i="3" s="1"/>
  <c r="BE19" i="3"/>
  <c r="BE31" i="3" s="1"/>
  <c r="BF19" i="3"/>
  <c r="BF31" i="3" s="1"/>
  <c r="BG19" i="3"/>
  <c r="BG31" i="3" s="1"/>
  <c r="BH19" i="3"/>
  <c r="BH31" i="3" s="1"/>
  <c r="BI19" i="3"/>
  <c r="BI31" i="3" s="1"/>
  <c r="BJ19" i="3"/>
  <c r="BJ31" i="3" s="1"/>
  <c r="BK19" i="3"/>
  <c r="BK31" i="3" s="1"/>
  <c r="BL19" i="3"/>
  <c r="BL31" i="3" s="1"/>
  <c r="BM19" i="3"/>
  <c r="BM31" i="3" s="1"/>
  <c r="BN19" i="3"/>
  <c r="BN31" i="3" s="1"/>
  <c r="BO19" i="3"/>
  <c r="BO31" i="3" s="1"/>
  <c r="BP19" i="3"/>
  <c r="BP31" i="3" s="1"/>
  <c r="BQ19" i="3"/>
  <c r="BQ31" i="3" s="1"/>
  <c r="BR19" i="3"/>
  <c r="BR31" i="3" s="1"/>
  <c r="BS19" i="3"/>
  <c r="BS31" i="3" s="1"/>
  <c r="BT19" i="3"/>
  <c r="BT31" i="3" s="1"/>
  <c r="BU19" i="3"/>
  <c r="BU31" i="3" s="1"/>
  <c r="BV19" i="3"/>
  <c r="BV31" i="3" s="1"/>
  <c r="BW19" i="3"/>
  <c r="BW31" i="3" s="1"/>
  <c r="BX19" i="3"/>
  <c r="BX31" i="3" s="1"/>
  <c r="BY19" i="3"/>
  <c r="BY31" i="3" s="1"/>
  <c r="BZ19" i="3"/>
  <c r="BZ31" i="3" s="1"/>
  <c r="CA19" i="3"/>
  <c r="CA31" i="3" s="1"/>
  <c r="CB19" i="3"/>
  <c r="CB31" i="3" s="1"/>
  <c r="CC19" i="3"/>
  <c r="CC31" i="3" s="1"/>
  <c r="CD19" i="3"/>
  <c r="CD31" i="3" s="1"/>
  <c r="CE19" i="3"/>
  <c r="CE31" i="3" s="1"/>
  <c r="CF19" i="3"/>
  <c r="CF31" i="3" s="1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N20" i="3"/>
  <c r="N32" i="3" s="1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N21" i="3"/>
  <c r="N33" i="3" s="1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N22" i="3"/>
  <c r="N34" i="3" s="1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N23" i="3"/>
  <c r="N35" i="3" s="1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N24" i="3"/>
  <c r="N36" i="3" s="1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N26" i="3"/>
  <c r="N38" i="3" s="1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N27" i="3"/>
  <c r="N39" i="3" s="1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N28" i="3"/>
  <c r="N40" i="3" s="1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AM4" i="3"/>
  <c r="DF46" i="2" s="1"/>
  <c r="CH57" i="2"/>
  <c r="CA56" i="2"/>
  <c r="BT55" i="2"/>
  <c r="BM54" i="2"/>
  <c r="BF53" i="2"/>
  <c r="AY52" i="2"/>
  <c r="AR51" i="2"/>
  <c r="AK50" i="2"/>
  <c r="AD49" i="2"/>
  <c r="W48" i="2"/>
  <c r="P47" i="2"/>
  <c r="I46" i="2"/>
  <c r="I81" i="2" l="1" a="1"/>
  <c r="I81" i="2" s="1"/>
  <c r="I83" i="2" a="1"/>
  <c r="I83" i="2" s="1"/>
  <c r="BT83" i="2" a="1"/>
  <c r="BT83" i="2" s="1"/>
  <c r="BM83" i="2" a="1"/>
  <c r="BM83" i="2" s="1"/>
  <c r="BF83" i="2" a="1"/>
  <c r="BF83" i="2" s="1"/>
  <c r="AY83" i="2" a="1"/>
  <c r="AY83" i="2" s="1"/>
  <c r="AR83" i="2" a="1"/>
  <c r="AR83" i="2" s="1"/>
  <c r="AK83" i="2" a="1"/>
  <c r="AK83" i="2" s="1"/>
  <c r="AD83" i="2" a="1"/>
  <c r="AD83" i="2" s="1"/>
  <c r="W83" i="2" a="1"/>
  <c r="W83" i="2" s="1"/>
  <c r="P83" i="2" a="1"/>
  <c r="P83" i="2" s="1"/>
  <c r="BT82" i="2" a="1"/>
  <c r="BT82" i="2" s="1"/>
  <c r="BM82" i="2" a="1"/>
  <c r="BM82" i="2" s="1"/>
  <c r="BF82" i="2" a="1"/>
  <c r="BF82" i="2" s="1"/>
  <c r="AY82" i="2" a="1"/>
  <c r="AY82" i="2" s="1"/>
  <c r="AR82" i="2" a="1"/>
  <c r="AR82" i="2" s="1"/>
  <c r="AK82" i="2" a="1"/>
  <c r="AK82" i="2" s="1"/>
  <c r="AD82" i="2" a="1"/>
  <c r="AD82" i="2" s="1"/>
  <c r="W82" i="2" a="1"/>
  <c r="W82" i="2" s="1"/>
  <c r="P82" i="2" a="1"/>
  <c r="P82" i="2" s="1"/>
  <c r="I82" i="2" a="1"/>
  <c r="I82" i="2" s="1"/>
  <c r="BT81" i="2" a="1"/>
  <c r="BT81" i="2" s="1"/>
  <c r="BM81" i="2" a="1"/>
  <c r="BM81" i="2" s="1"/>
  <c r="BF81" i="2" a="1"/>
  <c r="BF81" i="2" s="1"/>
  <c r="AY81" i="2" a="1"/>
  <c r="AY81" i="2" s="1"/>
  <c r="AR81" i="2" a="1"/>
  <c r="AR81" i="2" s="1"/>
  <c r="AK81" i="2" a="1"/>
  <c r="AK81" i="2" s="1"/>
  <c r="AD81" i="2" a="1"/>
  <c r="AD81" i="2" s="1"/>
  <c r="W81" i="2" a="1"/>
  <c r="W81" i="2" s="1"/>
  <c r="P81" i="2" a="1"/>
  <c r="P81" i="2" s="1"/>
  <c r="AY87" i="2" l="1"/>
  <c r="AY86" i="2"/>
  <c r="AY93" i="2" s="1" a="1"/>
  <c r="AY93" i="2" s="1"/>
  <c r="AY96" i="2" a="1"/>
  <c r="AY96" i="2" s="1"/>
  <c r="AY92" i="2" a="1"/>
  <c r="AY92" i="2" s="1"/>
  <c r="AY94" i="2" a="1"/>
  <c r="AY94" i="2" s="1"/>
  <c r="I86" i="2"/>
  <c r="BM87" i="2"/>
  <c r="BM86" i="2"/>
  <c r="I87" i="2"/>
  <c r="AD86" i="2"/>
  <c r="AD87" i="2"/>
  <c r="BF87" i="2"/>
  <c r="P87" i="2"/>
  <c r="BT87" i="2"/>
  <c r="BF86" i="2"/>
  <c r="W87" i="2"/>
  <c r="BT86" i="2"/>
  <c r="P86" i="2"/>
  <c r="AK87" i="2"/>
  <c r="W86" i="2"/>
  <c r="AR87" i="2"/>
  <c r="AK86" i="2"/>
  <c r="AR86" i="2"/>
  <c r="DA21" i="2"/>
  <c r="CZ21" i="2"/>
  <c r="H59" i="1"/>
  <c r="G59" i="1"/>
  <c r="AY90" i="2" l="1" a="1"/>
  <c r="AY90" i="2" s="1"/>
  <c r="AY102" i="2" s="1"/>
  <c r="AY91" i="2" a="1"/>
  <c r="AY91" i="2" s="1"/>
  <c r="AY95" i="2" a="1"/>
  <c r="AY95" i="2" s="1"/>
  <c r="AY97" i="2" a="1"/>
  <c r="AY97" i="2" s="1"/>
  <c r="AR94" i="2" a="1"/>
  <c r="AR94" i="2" s="1"/>
  <c r="AR95" i="2" a="1"/>
  <c r="AR95" i="2" s="1"/>
  <c r="AR96" i="2" a="1"/>
  <c r="AR96" i="2" s="1"/>
  <c r="AR90" i="2" a="1"/>
  <c r="AR90" i="2" s="1"/>
  <c r="AR97" i="2" a="1"/>
  <c r="AR97" i="2" s="1"/>
  <c r="AR91" i="2" a="1"/>
  <c r="AR91" i="2" s="1"/>
  <c r="AR92" i="2" a="1"/>
  <c r="AR92" i="2" s="1"/>
  <c r="AR93" i="2" a="1"/>
  <c r="AR93" i="2" s="1"/>
  <c r="W95" i="2" a="1"/>
  <c r="W95" i="2" s="1"/>
  <c r="W96" i="2" a="1"/>
  <c r="W96" i="2" s="1"/>
  <c r="W97" i="2" a="1"/>
  <c r="W97" i="2" s="1"/>
  <c r="W90" i="2" a="1"/>
  <c r="W90" i="2" s="1"/>
  <c r="W92" i="2" a="1"/>
  <c r="W92" i="2" s="1"/>
  <c r="W93" i="2" a="1"/>
  <c r="W93" i="2" s="1"/>
  <c r="W91" i="2" a="1"/>
  <c r="W91" i="2" s="1"/>
  <c r="W94" i="2" a="1"/>
  <c r="W94" i="2" s="1"/>
  <c r="I96" i="2" a="1"/>
  <c r="I96" i="2" s="1"/>
  <c r="I97" i="2" a="1"/>
  <c r="I97" i="2" s="1"/>
  <c r="I90" i="2" a="1"/>
  <c r="I90" i="2" s="1"/>
  <c r="I91" i="2" a="1"/>
  <c r="I91" i="2" s="1"/>
  <c r="I93" i="2" a="1"/>
  <c r="I93" i="2" s="1"/>
  <c r="I94" i="2" a="1"/>
  <c r="I94" i="2" s="1"/>
  <c r="I95" i="2" a="1"/>
  <c r="I95" i="2" s="1"/>
  <c r="I92" i="2" a="1"/>
  <c r="I92" i="2" s="1"/>
  <c r="BF94" i="2" a="1"/>
  <c r="BF94" i="2" s="1"/>
  <c r="BF95" i="2" a="1"/>
  <c r="BF95" i="2" s="1"/>
  <c r="BF96" i="2" a="1"/>
  <c r="BF96" i="2" s="1"/>
  <c r="BF90" i="2" a="1"/>
  <c r="BF90" i="2" s="1"/>
  <c r="BF97" i="2" a="1"/>
  <c r="BF97" i="2" s="1"/>
  <c r="BF91" i="2" a="1"/>
  <c r="BF91" i="2" s="1"/>
  <c r="BF92" i="2" a="1"/>
  <c r="BF92" i="2" s="1"/>
  <c r="BF93" i="2" a="1"/>
  <c r="BF93" i="2" s="1"/>
  <c r="P96" i="2" a="1"/>
  <c r="P96" i="2" s="1"/>
  <c r="P97" i="2" a="1"/>
  <c r="P97" i="2" s="1"/>
  <c r="P90" i="2" a="1"/>
  <c r="P90" i="2" s="1"/>
  <c r="P91" i="2" a="1"/>
  <c r="P91" i="2" s="1"/>
  <c r="P93" i="2" a="1"/>
  <c r="P93" i="2" s="1"/>
  <c r="P92" i="2" a="1"/>
  <c r="P92" i="2" s="1"/>
  <c r="P94" i="2" a="1"/>
  <c r="P94" i="2" s="1"/>
  <c r="P95" i="2" a="1"/>
  <c r="P95" i="2" s="1"/>
  <c r="AD94" i="2" a="1"/>
  <c r="AD94" i="2" s="1"/>
  <c r="AD95" i="2" a="1"/>
  <c r="AD95" i="2" s="1"/>
  <c r="AD96" i="2" a="1"/>
  <c r="AD96" i="2" s="1"/>
  <c r="AD90" i="2" a="1"/>
  <c r="AD90" i="2" s="1"/>
  <c r="AD97" i="2" a="1"/>
  <c r="AD97" i="2" s="1"/>
  <c r="AD91" i="2" a="1"/>
  <c r="AD91" i="2" s="1"/>
  <c r="AD92" i="2" a="1"/>
  <c r="AD92" i="2" s="1"/>
  <c r="AD93" i="2" a="1"/>
  <c r="AD93" i="2" s="1"/>
  <c r="AK94" i="2" a="1"/>
  <c r="AK94" i="2" s="1"/>
  <c r="AK95" i="2" a="1"/>
  <c r="AK95" i="2" s="1"/>
  <c r="AK96" i="2" a="1"/>
  <c r="AK96" i="2" s="1"/>
  <c r="AK97" i="2" a="1"/>
  <c r="AK97" i="2" s="1"/>
  <c r="AK91" i="2" a="1"/>
  <c r="AK91" i="2" s="1"/>
  <c r="AK90" i="2" a="1"/>
  <c r="AK90" i="2" s="1"/>
  <c r="AK92" i="2" a="1"/>
  <c r="AK92" i="2" s="1"/>
  <c r="AK93" i="2" a="1"/>
  <c r="AK93" i="2" s="1"/>
  <c r="BT92" i="2" a="1"/>
  <c r="BT92" i="2" s="1"/>
  <c r="BT93" i="2" a="1"/>
  <c r="BT93" i="2" s="1"/>
  <c r="BT94" i="2" a="1"/>
  <c r="BT94" i="2" s="1"/>
  <c r="BT96" i="2" a="1"/>
  <c r="BT96" i="2" s="1"/>
  <c r="BT95" i="2" a="1"/>
  <c r="BT95" i="2" s="1"/>
  <c r="BT97" i="2" a="1"/>
  <c r="BT97" i="2" s="1"/>
  <c r="BT90" i="2" a="1"/>
  <c r="BT90" i="2" s="1"/>
  <c r="BT91" i="2" a="1"/>
  <c r="BT91" i="2" s="1"/>
  <c r="BM93" i="2" a="1"/>
  <c r="BM93" i="2" s="1"/>
  <c r="BM94" i="2" a="1"/>
  <c r="BM94" i="2" s="1"/>
  <c r="BM95" i="2" a="1"/>
  <c r="BM95" i="2" s="1"/>
  <c r="BM97" i="2" a="1"/>
  <c r="BM97" i="2" s="1"/>
  <c r="BM96" i="2" a="1"/>
  <c r="BM96" i="2" s="1"/>
  <c r="BM90" i="2" a="1"/>
  <c r="BM90" i="2" s="1"/>
  <c r="BM91" i="2" a="1"/>
  <c r="BM91" i="2" s="1"/>
  <c r="BM92" i="2" a="1"/>
  <c r="BM92" i="2" s="1"/>
  <c r="F62" i="1"/>
  <c r="F66" i="1"/>
  <c r="F63" i="1"/>
  <c r="F61" i="1"/>
  <c r="F69" i="1"/>
  <c r="F68" i="1"/>
  <c r="F70" i="1"/>
  <c r="F64" i="1"/>
  <c r="F67" i="1"/>
  <c r="F65" i="1"/>
  <c r="CX29" i="2"/>
  <c r="CX28" i="2"/>
  <c r="CX23" i="2"/>
  <c r="CX27" i="2"/>
  <c r="CX34" i="2"/>
  <c r="CX26" i="2"/>
  <c r="CX33" i="2"/>
  <c r="CX25" i="2"/>
  <c r="CX32" i="2"/>
  <c r="CX24" i="2"/>
  <c r="CX31" i="2"/>
  <c r="CX30" i="2"/>
  <c r="AB16" i="1" a="1"/>
  <c r="AB16" i="1" s="1"/>
  <c r="BF105" i="2" l="1"/>
  <c r="BF102" i="2"/>
  <c r="BM104" i="2"/>
  <c r="BF101" i="2"/>
  <c r="AY104" i="2"/>
  <c r="AY100" i="2"/>
  <c r="W103" i="2"/>
  <c r="W100" i="2"/>
  <c r="AY103" i="2"/>
  <c r="AY105" i="2"/>
  <c r="AY101" i="2"/>
  <c r="AY106" i="2"/>
  <c r="BM100" i="2"/>
  <c r="AR102" i="2"/>
  <c r="AK102" i="2"/>
  <c r="BM101" i="2"/>
  <c r="AK101" i="2"/>
  <c r="AD102" i="2"/>
  <c r="AR101" i="2"/>
  <c r="AR105" i="2"/>
  <c r="AD101" i="2"/>
  <c r="AD105" i="2"/>
  <c r="W106" i="2"/>
  <c r="P103" i="2"/>
  <c r="I104" i="2"/>
  <c r="AD103" i="2"/>
  <c r="P105" i="2"/>
  <c r="BF103" i="2"/>
  <c r="BT100" i="2"/>
  <c r="P104" i="2"/>
  <c r="I101" i="2"/>
  <c r="AD100" i="2"/>
  <c r="P101" i="2"/>
  <c r="BF100" i="2"/>
  <c r="I103" i="2"/>
  <c r="W102" i="2"/>
  <c r="AR100" i="2"/>
  <c r="AK100" i="2"/>
  <c r="AD106" i="2"/>
  <c r="P102" i="2"/>
  <c r="BF106" i="2"/>
  <c r="I102" i="2"/>
  <c r="W101" i="2"/>
  <c r="AR106" i="2"/>
  <c r="P100" i="2"/>
  <c r="I100" i="2"/>
  <c r="BT106" i="2"/>
  <c r="BM105" i="2"/>
  <c r="BM106" i="2"/>
  <c r="BT105" i="2"/>
  <c r="AK106" i="2"/>
  <c r="BT103" i="2"/>
  <c r="AK105" i="2"/>
  <c r="BT104" i="2"/>
  <c r="BM103" i="2"/>
  <c r="BT102" i="2"/>
  <c r="AK104" i="2"/>
  <c r="AD104" i="2"/>
  <c r="P106" i="2"/>
  <c r="BF104" i="2"/>
  <c r="I106" i="2"/>
  <c r="W105" i="2"/>
  <c r="AR104" i="2"/>
  <c r="BM102" i="2"/>
  <c r="BT101" i="2"/>
  <c r="AK103" i="2"/>
  <c r="I105" i="2"/>
  <c r="W104" i="2"/>
  <c r="AR103" i="2"/>
  <c r="W17" i="2" a="1"/>
  <c r="W17" i="2" s="1"/>
  <c r="CH17" i="2" a="1"/>
  <c r="CH17" i="2" s="1"/>
  <c r="CH18" i="2" a="1"/>
  <c r="CH18" i="2" s="1"/>
  <c r="CH16" i="2" a="1"/>
  <c r="CH16" i="2" s="1"/>
  <c r="CA27" i="2" a="1"/>
  <c r="CA27" i="2" s="1"/>
  <c r="CA17" i="2" a="1"/>
  <c r="CA17" i="2" s="1"/>
  <c r="CA18" i="2" a="1"/>
  <c r="CA18" i="2" s="1"/>
  <c r="CA16" i="2" a="1"/>
  <c r="CA16" i="2" s="1"/>
  <c r="BT17" i="2" a="1"/>
  <c r="BT17" i="2" s="1"/>
  <c r="BT18" i="2" a="1"/>
  <c r="BT18" i="2" s="1"/>
  <c r="BT16" i="2" a="1"/>
  <c r="BT16" i="2" s="1"/>
  <c r="BM17" i="2" a="1"/>
  <c r="BM17" i="2" s="1"/>
  <c r="BM18" i="2" a="1"/>
  <c r="BM18" i="2" s="1"/>
  <c r="BM16" i="2" a="1"/>
  <c r="BM16" i="2" s="1"/>
  <c r="BF17" i="2" a="1"/>
  <c r="BF17" i="2" s="1"/>
  <c r="BF18" i="2" a="1"/>
  <c r="BF18" i="2" s="1"/>
  <c r="BF16" i="2" a="1"/>
  <c r="BF16" i="2" s="1"/>
  <c r="AY17" i="2" a="1"/>
  <c r="AY17" i="2" s="1"/>
  <c r="AY18" i="2" a="1"/>
  <c r="AY18" i="2" s="1"/>
  <c r="AY16" i="2" a="1"/>
  <c r="AY16" i="2" s="1"/>
  <c r="AR17" i="2" a="1"/>
  <c r="AR17" i="2" s="1"/>
  <c r="AR18" i="2" a="1"/>
  <c r="AR18" i="2" s="1"/>
  <c r="AR16" i="2" a="1"/>
  <c r="AR16" i="2" s="1"/>
  <c r="AK17" i="2" a="1"/>
  <c r="AK17" i="2" s="1"/>
  <c r="AK18" i="2" a="1"/>
  <c r="AK18" i="2" s="1"/>
  <c r="AK16" i="2" a="1"/>
  <c r="AK16" i="2" s="1"/>
  <c r="AD17" i="2" a="1"/>
  <c r="AD17" i="2" s="1"/>
  <c r="AD18" i="2" a="1"/>
  <c r="AD18" i="2" s="1"/>
  <c r="AD16" i="2" a="1"/>
  <c r="AD16" i="2" s="1"/>
  <c r="W18" i="2" a="1"/>
  <c r="W18" i="2" s="1"/>
  <c r="W16" i="2" a="1"/>
  <c r="W16" i="2" s="1"/>
  <c r="P17" i="2" a="1"/>
  <c r="P17" i="2" s="1"/>
  <c r="P18" i="2" a="1"/>
  <c r="P18" i="2" s="1"/>
  <c r="P16" i="2" a="1"/>
  <c r="P16" i="2" s="1"/>
  <c r="I17" i="2" a="1"/>
  <c r="I17" i="2" s="1"/>
  <c r="I18" i="2" a="1"/>
  <c r="I18" i="2" s="1"/>
  <c r="I16" i="2" a="1"/>
  <c r="I16" i="2" s="1"/>
  <c r="CA22" i="2" l="1"/>
  <c r="CA26" i="2" s="1" a="1"/>
  <c r="CA26" i="2" s="1"/>
  <c r="CA30" i="2" s="1" a="1"/>
  <c r="CA30" i="2" s="1"/>
  <c r="CA21" i="2"/>
  <c r="CA25" i="2" s="1" a="1"/>
  <c r="CA25" i="2" s="1"/>
  <c r="CA28" i="2" s="1" a="1"/>
  <c r="CA28" i="2" s="1"/>
  <c r="CA31" i="2" s="1" a="1"/>
  <c r="CA31" i="2" s="1"/>
  <c r="CH21" i="2"/>
  <c r="BT21" i="2"/>
  <c r="BM21" i="2"/>
  <c r="BF22" i="2"/>
  <c r="AY22" i="2"/>
  <c r="AD22" i="2"/>
  <c r="W22" i="2"/>
  <c r="W21" i="2"/>
  <c r="P21" i="2"/>
  <c r="I21" i="2"/>
  <c r="CH22" i="2"/>
  <c r="AK22" i="2"/>
  <c r="AR22" i="2"/>
  <c r="AD21" i="2"/>
  <c r="AK21" i="2"/>
  <c r="I22" i="2"/>
  <c r="BM22" i="2"/>
  <c r="AY21" i="2"/>
  <c r="AR21" i="2"/>
  <c r="P22" i="2"/>
  <c r="BT22" i="2"/>
  <c r="BF21" i="2"/>
  <c r="G16" i="1" a="1"/>
  <c r="G16" i="1" s="1"/>
  <c r="BR18" i="1" a="1"/>
  <c r="BR18" i="1" s="1"/>
  <c r="BK18" i="1" a="1"/>
  <c r="BK18" i="1" s="1"/>
  <c r="BD18" i="1" a="1"/>
  <c r="BD18" i="1" s="1"/>
  <c r="AW18" i="1" a="1"/>
  <c r="AW18" i="1" s="1"/>
  <c r="AP18" i="1" a="1"/>
  <c r="AP18" i="1" s="1"/>
  <c r="AI18" i="1" a="1"/>
  <c r="AI18" i="1" s="1"/>
  <c r="AB18" i="1" a="1"/>
  <c r="AB18" i="1" s="1"/>
  <c r="U18" i="1" a="1"/>
  <c r="U18" i="1" s="1"/>
  <c r="N18" i="1" a="1"/>
  <c r="N18" i="1" s="1"/>
  <c r="G18" i="1" a="1"/>
  <c r="G18" i="1" s="1"/>
  <c r="BR17" i="1" a="1"/>
  <c r="BR17" i="1" s="1"/>
  <c r="BK17" i="1" a="1"/>
  <c r="BK17" i="1" s="1"/>
  <c r="BD17" i="1" a="1"/>
  <c r="BD17" i="1" s="1"/>
  <c r="AW17" i="1" a="1"/>
  <c r="AW17" i="1" s="1"/>
  <c r="AP17" i="1" a="1"/>
  <c r="AP17" i="1" s="1"/>
  <c r="AI17" i="1" a="1"/>
  <c r="AI17" i="1" s="1"/>
  <c r="AB17" i="1" a="1"/>
  <c r="AB17" i="1" s="1"/>
  <c r="U17" i="1" a="1"/>
  <c r="U17" i="1" s="1"/>
  <c r="N17" i="1" a="1"/>
  <c r="N17" i="1" s="1"/>
  <c r="G17" i="1" a="1"/>
  <c r="G17" i="1" s="1"/>
  <c r="BK16" i="1" a="1"/>
  <c r="BK16" i="1" s="1"/>
  <c r="BR16" i="1" a="1"/>
  <c r="BR16" i="1" s="1"/>
  <c r="BD16" i="1" a="1"/>
  <c r="BD16" i="1" s="1"/>
  <c r="AW16" i="1" a="1"/>
  <c r="AW16" i="1" s="1"/>
  <c r="AP16" i="1" a="1"/>
  <c r="AP16" i="1" s="1"/>
  <c r="AI16" i="1" a="1"/>
  <c r="AI16" i="1" s="1"/>
  <c r="U16" i="1" a="1"/>
  <c r="U16" i="1" s="1"/>
  <c r="N16" i="1" a="1"/>
  <c r="N16" i="1" s="1"/>
  <c r="CH26" i="2" l="1" a="1"/>
  <c r="CH26" i="2" s="1"/>
  <c r="CH27" i="2" a="1"/>
  <c r="CH27" i="2" s="1"/>
  <c r="CH25" i="2" a="1"/>
  <c r="CH25" i="2" s="1"/>
  <c r="CH28" i="2" a="1"/>
  <c r="CH28" i="2" s="1"/>
  <c r="CH29" i="2" a="1"/>
  <c r="CH29" i="2" s="1"/>
  <c r="CH30" i="2" a="1"/>
  <c r="CH30" i="2" s="1"/>
  <c r="CH31" i="2" a="1"/>
  <c r="CH31" i="2" s="1"/>
  <c r="CH32" i="2" a="1"/>
  <c r="CH32" i="2" s="1"/>
  <c r="CA29" i="2" a="1"/>
  <c r="CA29" i="2" s="1"/>
  <c r="CA32" i="2" s="1" a="1"/>
  <c r="CA32" i="2" s="1"/>
  <c r="P27" i="2" a="1"/>
  <c r="P27" i="2" s="1"/>
  <c r="P25" i="2" a="1"/>
  <c r="P25" i="2" s="1"/>
  <c r="P29" i="2" a="1"/>
  <c r="P29" i="2" s="1"/>
  <c r="P32" i="2" a="1"/>
  <c r="P32" i="2" s="1"/>
  <c r="P28" i="2" a="1"/>
  <c r="P28" i="2" s="1"/>
  <c r="P31" i="2" a="1"/>
  <c r="P31" i="2" s="1"/>
  <c r="P30" i="2" a="1"/>
  <c r="P30" i="2" s="1"/>
  <c r="P26" i="2" a="1"/>
  <c r="P26" i="2" s="1"/>
  <c r="BF27" i="2" a="1"/>
  <c r="BF27" i="2" s="1"/>
  <c r="BF28" i="2" a="1"/>
  <c r="BF28" i="2" s="1"/>
  <c r="BF29" i="2" a="1"/>
  <c r="BF29" i="2" s="1"/>
  <c r="BF30" i="2" a="1"/>
  <c r="BF30" i="2" s="1"/>
  <c r="BF31" i="2" a="1"/>
  <c r="BF31" i="2" s="1"/>
  <c r="BF32" i="2" a="1"/>
  <c r="BF32" i="2" s="1"/>
  <c r="BF25" i="2" a="1"/>
  <c r="BF25" i="2" s="1"/>
  <c r="BF26" i="2" a="1"/>
  <c r="BF26" i="2" s="1"/>
  <c r="AK26" i="2" a="1"/>
  <c r="AK26" i="2" s="1"/>
  <c r="AK27" i="2" a="1"/>
  <c r="AK27" i="2" s="1"/>
  <c r="AK28" i="2" a="1"/>
  <c r="AK28" i="2" s="1"/>
  <c r="AK29" i="2" a="1"/>
  <c r="AK29" i="2" s="1"/>
  <c r="AK30" i="2" a="1"/>
  <c r="AK30" i="2" s="1"/>
  <c r="AK31" i="2" a="1"/>
  <c r="AK31" i="2" s="1"/>
  <c r="AK32" i="2" a="1"/>
  <c r="AK32" i="2" s="1"/>
  <c r="AK25" i="2" a="1"/>
  <c r="AK25" i="2" s="1"/>
  <c r="AD32" i="2" a="1"/>
  <c r="AD32" i="2" s="1"/>
  <c r="AD31" i="2" a="1"/>
  <c r="AD31" i="2" s="1"/>
  <c r="AD25" i="2" a="1"/>
  <c r="AD25" i="2" s="1"/>
  <c r="AD26" i="2" a="1"/>
  <c r="AD26" i="2" s="1"/>
  <c r="AD27" i="2" a="1"/>
  <c r="AD27" i="2" s="1"/>
  <c r="AD28" i="2" a="1"/>
  <c r="AD28" i="2" s="1"/>
  <c r="AD29" i="2" a="1"/>
  <c r="AD29" i="2" s="1"/>
  <c r="AD30" i="2" a="1"/>
  <c r="AD30" i="2" s="1"/>
  <c r="BM30" i="2" a="1"/>
  <c r="BM30" i="2" s="1"/>
  <c r="BM31" i="2" a="1"/>
  <c r="BM31" i="2" s="1"/>
  <c r="BM32" i="2" a="1"/>
  <c r="BM32" i="2" s="1"/>
  <c r="BM25" i="2" a="1"/>
  <c r="BM25" i="2" s="1"/>
  <c r="BM26" i="2" a="1"/>
  <c r="BM26" i="2" s="1"/>
  <c r="BM27" i="2" a="1"/>
  <c r="BM27" i="2" s="1"/>
  <c r="BM28" i="2" a="1"/>
  <c r="BM28" i="2" s="1"/>
  <c r="BM29" i="2" a="1"/>
  <c r="BM29" i="2" s="1"/>
  <c r="AR29" i="2" a="1"/>
  <c r="AR29" i="2" s="1"/>
  <c r="AR30" i="2" a="1"/>
  <c r="AR30" i="2" s="1"/>
  <c r="AR31" i="2" a="1"/>
  <c r="AR31" i="2" s="1"/>
  <c r="AR32" i="2" a="1"/>
  <c r="AR32" i="2" s="1"/>
  <c r="AR25" i="2" a="1"/>
  <c r="AR25" i="2" s="1"/>
  <c r="AR26" i="2" a="1"/>
  <c r="AR26" i="2" s="1"/>
  <c r="AR27" i="2" a="1"/>
  <c r="AR27" i="2" s="1"/>
  <c r="AR28" i="2" a="1"/>
  <c r="AR28" i="2" s="1"/>
  <c r="AY32" i="2" a="1"/>
  <c r="AY32" i="2" s="1"/>
  <c r="AY25" i="2" a="1"/>
  <c r="AY25" i="2" s="1"/>
  <c r="AY26" i="2" a="1"/>
  <c r="AY26" i="2" s="1"/>
  <c r="AY27" i="2" a="1"/>
  <c r="AY27" i="2" s="1"/>
  <c r="AY28" i="2" a="1"/>
  <c r="AY28" i="2" s="1"/>
  <c r="AY29" i="2" a="1"/>
  <c r="AY29" i="2" s="1"/>
  <c r="AY30" i="2" a="1"/>
  <c r="AY30" i="2" s="1"/>
  <c r="AY31" i="2" a="1"/>
  <c r="AY31" i="2" s="1"/>
  <c r="I30" i="2" a="1"/>
  <c r="I30" i="2" s="1"/>
  <c r="I31" i="2" a="1"/>
  <c r="I31" i="2" s="1"/>
  <c r="I25" i="2" a="1"/>
  <c r="I25" i="2" s="1"/>
  <c r="I32" i="2" a="1"/>
  <c r="I32" i="2" s="1"/>
  <c r="I26" i="2" a="1"/>
  <c r="I26" i="2" s="1"/>
  <c r="I28" i="2" a="1"/>
  <c r="I28" i="2" s="1"/>
  <c r="I27" i="2" a="1"/>
  <c r="I27" i="2" s="1"/>
  <c r="I29" i="2" a="1"/>
  <c r="I29" i="2" s="1"/>
  <c r="BT25" i="2" a="1"/>
  <c r="BT25" i="2" s="1"/>
  <c r="CA37" i="2" s="1"/>
  <c r="BT26" i="2" a="1"/>
  <c r="BT26" i="2" s="1"/>
  <c r="BT27" i="2" a="1"/>
  <c r="BT27" i="2" s="1"/>
  <c r="BT28" i="2" a="1"/>
  <c r="BT28" i="2" s="1"/>
  <c r="BT29" i="2" a="1"/>
  <c r="BT29" i="2" s="1"/>
  <c r="BT30" i="2" a="1"/>
  <c r="BT30" i="2" s="1"/>
  <c r="BT31" i="2" a="1"/>
  <c r="BT31" i="2" s="1"/>
  <c r="BT32" i="2" a="1"/>
  <c r="BT32" i="2" s="1"/>
  <c r="W28" i="2" a="1"/>
  <c r="W28" i="2" s="1"/>
  <c r="W29" i="2" a="1"/>
  <c r="W29" i="2" s="1"/>
  <c r="W30" i="2" a="1"/>
  <c r="W30" i="2" s="1"/>
  <c r="W31" i="2" a="1"/>
  <c r="W31" i="2" s="1"/>
  <c r="W32" i="2" a="1"/>
  <c r="W32" i="2" s="1"/>
  <c r="W25" i="2" a="1"/>
  <c r="W25" i="2" s="1"/>
  <c r="W26" i="2" a="1"/>
  <c r="W26" i="2" s="1"/>
  <c r="W27" i="2" a="1"/>
  <c r="W27" i="2" s="1"/>
  <c r="U21" i="1"/>
  <c r="AI22" i="1"/>
  <c r="AP22" i="1"/>
  <c r="AB21" i="1"/>
  <c r="AW22" i="1"/>
  <c r="AI21" i="1"/>
  <c r="BD22" i="1"/>
  <c r="AP21" i="1"/>
  <c r="G22" i="1"/>
  <c r="BK22" i="1"/>
  <c r="AW21" i="1"/>
  <c r="N22" i="1"/>
  <c r="BR22" i="1"/>
  <c r="BD21" i="1"/>
  <c r="U22" i="1"/>
  <c r="G21" i="1"/>
  <c r="G26" i="1" s="1" a="1"/>
  <c r="G26" i="1" s="1"/>
  <c r="BK21" i="1"/>
  <c r="AB22" i="1"/>
  <c r="N21" i="1"/>
  <c r="BR21" i="1"/>
  <c r="AD36" i="2" l="1"/>
  <c r="BR28" i="1" a="1"/>
  <c r="BR28" i="1" s="1"/>
  <c r="BR31" i="1" a="1"/>
  <c r="BR31" i="1" s="1"/>
  <c r="BR29" i="1" a="1"/>
  <c r="BR29" i="1" s="1"/>
  <c r="BR32" i="1" a="1"/>
  <c r="BR32" i="1" s="1"/>
  <c r="BR30" i="1" a="1"/>
  <c r="BR30" i="1" s="1"/>
  <c r="BR26" i="1" a="1"/>
  <c r="BR26" i="1" s="1"/>
  <c r="BR27" i="1" a="1"/>
  <c r="BR27" i="1" s="1"/>
  <c r="BR25" i="1" a="1"/>
  <c r="BR25" i="1" s="1"/>
  <c r="BK26" i="1" a="1"/>
  <c r="BK26" i="1" s="1"/>
  <c r="BK32" i="1" a="1"/>
  <c r="BK32" i="1" s="1"/>
  <c r="BK27" i="1" a="1"/>
  <c r="BK27" i="1" s="1"/>
  <c r="BK28" i="1" a="1"/>
  <c r="BK28" i="1" s="1"/>
  <c r="BK29" i="1" a="1"/>
  <c r="BK29" i="1" s="1"/>
  <c r="BK30" i="1" a="1"/>
  <c r="BK30" i="1" s="1"/>
  <c r="BK25" i="1" a="1"/>
  <c r="BK25" i="1" s="1"/>
  <c r="BK31" i="1" a="1"/>
  <c r="BK31" i="1" s="1"/>
  <c r="BD26" i="1" a="1"/>
  <c r="BD26" i="1" s="1"/>
  <c r="BD31" i="1" a="1"/>
  <c r="BD31" i="1" s="1"/>
  <c r="BD32" i="1" a="1"/>
  <c r="BD32" i="1" s="1"/>
  <c r="BD27" i="1" a="1"/>
  <c r="BD27" i="1" s="1"/>
  <c r="BD28" i="1" a="1"/>
  <c r="BD28" i="1" s="1"/>
  <c r="BD29" i="1" a="1"/>
  <c r="BD29" i="1" s="1"/>
  <c r="BD30" i="1" a="1"/>
  <c r="BD30" i="1" s="1"/>
  <c r="BD25" i="1" a="1"/>
  <c r="BD25" i="1" s="1"/>
  <c r="AW26" i="1" a="1"/>
  <c r="AW26" i="1" s="1"/>
  <c r="AW29" i="1" a="1"/>
  <c r="AW29" i="1" s="1"/>
  <c r="AW32" i="1" a="1"/>
  <c r="AW32" i="1" s="1"/>
  <c r="AW27" i="1" a="1"/>
  <c r="AW27" i="1" s="1"/>
  <c r="AW28" i="1" a="1"/>
  <c r="AW28" i="1" s="1"/>
  <c r="AW30" i="1" a="1"/>
  <c r="AW30" i="1" s="1"/>
  <c r="AW31" i="1" a="1"/>
  <c r="AW31" i="1" s="1"/>
  <c r="AW25" i="1" a="1"/>
  <c r="AW25" i="1" s="1"/>
  <c r="AP26" i="1" a="1"/>
  <c r="AP26" i="1" s="1"/>
  <c r="AP32" i="1" a="1"/>
  <c r="AP32" i="1" s="1"/>
  <c r="AP27" i="1" a="1"/>
  <c r="AP27" i="1" s="1"/>
  <c r="AP31" i="1" a="1"/>
  <c r="AP31" i="1" s="1"/>
  <c r="AP28" i="1" a="1"/>
  <c r="AP28" i="1" s="1"/>
  <c r="AP29" i="1" a="1"/>
  <c r="AP29" i="1" s="1"/>
  <c r="AP30" i="1" a="1"/>
  <c r="AP30" i="1" s="1"/>
  <c r="AP25" i="1" a="1"/>
  <c r="AP25" i="1" s="1"/>
  <c r="U26" i="1" a="1"/>
  <c r="U26" i="1" s="1"/>
  <c r="U25" i="1" a="1"/>
  <c r="U25" i="1" s="1"/>
  <c r="U27" i="1" a="1"/>
  <c r="U27" i="1" s="1"/>
  <c r="U28" i="1" a="1"/>
  <c r="U28" i="1" s="1"/>
  <c r="U30" i="1" a="1"/>
  <c r="U30" i="1" s="1"/>
  <c r="U29" i="1" a="1"/>
  <c r="U29" i="1" s="1"/>
  <c r="U31" i="1" a="1"/>
  <c r="U31" i="1" s="1"/>
  <c r="U32" i="1" a="1"/>
  <c r="U32" i="1" s="1"/>
  <c r="N25" i="1" a="1"/>
  <c r="N25" i="1" s="1"/>
  <c r="N31" i="1" a="1"/>
  <c r="N31" i="1" s="1"/>
  <c r="N26" i="1" a="1"/>
  <c r="N26" i="1" s="1"/>
  <c r="N30" i="1" a="1"/>
  <c r="N30" i="1" s="1"/>
  <c r="N27" i="1" a="1"/>
  <c r="N27" i="1" s="1"/>
  <c r="N28" i="1" a="1"/>
  <c r="N28" i="1" s="1"/>
  <c r="N29" i="1" a="1"/>
  <c r="N29" i="1" s="1"/>
  <c r="N32" i="1" a="1"/>
  <c r="N32" i="1" s="1"/>
  <c r="BM39" i="2"/>
  <c r="G25" i="1" a="1"/>
  <c r="G25" i="1" s="1"/>
  <c r="G35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BM37" i="2"/>
  <c r="BF38" i="2"/>
  <c r="BM35" i="2"/>
  <c r="BM36" i="2"/>
  <c r="AD39" i="2"/>
  <c r="BT40" i="2"/>
  <c r="BT37" i="2"/>
  <c r="BT39" i="2"/>
  <c r="CH36" i="2"/>
  <c r="BT38" i="2"/>
  <c r="CA39" i="2"/>
  <c r="CA41" i="2"/>
  <c r="BM40" i="2"/>
  <c r="AR35" i="2"/>
  <c r="AD35" i="2"/>
  <c r="AD41" i="2"/>
  <c r="CH41" i="2"/>
  <c r="CH37" i="2"/>
  <c r="CH39" i="2"/>
  <c r="BT41" i="2"/>
  <c r="BM41" i="2"/>
  <c r="BM38" i="2"/>
  <c r="BF36" i="2"/>
  <c r="AY38" i="2"/>
  <c r="AD38" i="2"/>
  <c r="AD40" i="2"/>
  <c r="I39" i="2"/>
  <c r="P40" i="2"/>
  <c r="W41" i="2"/>
  <c r="AR40" i="2"/>
  <c r="AB26" i="1" a="1"/>
  <c r="AB26" i="1" s="1"/>
  <c r="AB25" i="1" a="1"/>
  <c r="AB25" i="1" s="1"/>
  <c r="AB27" i="1" a="1"/>
  <c r="AB27" i="1" s="1"/>
  <c r="AB28" i="1" a="1"/>
  <c r="AB28" i="1" s="1"/>
  <c r="AB31" i="1" a="1"/>
  <c r="AB31" i="1" s="1"/>
  <c r="AB29" i="1" a="1"/>
  <c r="AB29" i="1" s="1"/>
  <c r="AB30" i="1" a="1"/>
  <c r="AB30" i="1" s="1"/>
  <c r="AB32" i="1" a="1"/>
  <c r="AB32" i="1" s="1"/>
  <c r="CA38" i="2"/>
  <c r="CA35" i="2"/>
  <c r="W37" i="2"/>
  <c r="AR39" i="2"/>
  <c r="CH35" i="2"/>
  <c r="CA36" i="2"/>
  <c r="AR41" i="2"/>
  <c r="CA40" i="2"/>
  <c r="CH40" i="2"/>
  <c r="BT36" i="2"/>
  <c r="BT35" i="2"/>
  <c r="W36" i="2"/>
  <c r="W35" i="2"/>
  <c r="W40" i="2"/>
  <c r="W39" i="2"/>
  <c r="W38" i="2"/>
  <c r="BF40" i="2"/>
  <c r="BF37" i="2"/>
  <c r="BF39" i="2"/>
  <c r="BF41" i="2"/>
  <c r="AY40" i="2"/>
  <c r="AY39" i="2"/>
  <c r="AY41" i="2"/>
  <c r="AY37" i="2"/>
  <c r="AY36" i="2"/>
  <c r="AK41" i="2"/>
  <c r="AK36" i="2"/>
  <c r="AK40" i="2"/>
  <c r="AK38" i="2"/>
  <c r="AK35" i="2"/>
  <c r="AK37" i="2"/>
  <c r="AK39" i="2"/>
  <c r="P38" i="2"/>
  <c r="P36" i="2"/>
  <c r="I37" i="2"/>
  <c r="I35" i="2"/>
  <c r="I40" i="2"/>
  <c r="I36" i="2"/>
  <c r="I41" i="2"/>
  <c r="I38" i="2"/>
  <c r="AR37" i="2"/>
  <c r="P35" i="2"/>
  <c r="P37" i="2"/>
  <c r="P41" i="2"/>
  <c r="AR36" i="2"/>
  <c r="AD37" i="2"/>
  <c r="BF35" i="2"/>
  <c r="AY35" i="2"/>
  <c r="AR38" i="2"/>
  <c r="P39" i="2"/>
  <c r="AI26" i="1" a="1"/>
  <c r="AI26" i="1" s="1"/>
  <c r="AI27" i="1" a="1"/>
  <c r="AI27" i="1" s="1"/>
  <c r="AI28" i="1" a="1"/>
  <c r="AI28" i="1" s="1"/>
  <c r="AI29" i="1" a="1"/>
  <c r="AI29" i="1" s="1"/>
  <c r="AI31" i="1" a="1"/>
  <c r="AI31" i="1" s="1"/>
  <c r="AI32" i="1" a="1"/>
  <c r="AI32" i="1" s="1"/>
  <c r="AI30" i="1" a="1"/>
  <c r="AI30" i="1" s="1"/>
  <c r="AI25" i="1" a="1"/>
  <c r="AI25" i="1" s="1"/>
  <c r="CZ50" i="2" a="1"/>
  <c r="CT75" i="2" a="1"/>
  <c r="CQ57" i="2" a="1"/>
  <c r="CY66" i="2" a="1"/>
  <c r="CR66" i="2" a="1"/>
  <c r="CY54" i="2" a="1"/>
  <c r="CS74" i="2" a="1"/>
  <c r="CP50" i="2" a="1"/>
  <c r="CT65" i="2" a="1"/>
  <c r="CQ65" i="2" a="1"/>
  <c r="CX58" i="2" a="1"/>
  <c r="CR73" i="2" a="1"/>
  <c r="CR58" i="2" a="1"/>
  <c r="CV67" i="2" a="1"/>
  <c r="CS67" i="2" a="1"/>
  <c r="CT52" i="2" a="1"/>
  <c r="CV69" i="2" a="1"/>
  <c r="CU50" i="2" a="1"/>
  <c r="CX70" i="2" a="1"/>
  <c r="CR70" i="2" a="1"/>
  <c r="CS55" i="2" a="1"/>
  <c r="CY68" i="2" a="1"/>
  <c r="CW53" i="2" a="1"/>
  <c r="CV72" i="2" a="1"/>
  <c r="CT72" i="2" a="1"/>
  <c r="CV52" i="2" a="1"/>
  <c r="CZ71" i="2" a="1"/>
  <c r="CQ53" i="2" a="1"/>
  <c r="CP57" i="2" a="1"/>
  <c r="CR56" i="2" a="1"/>
  <c r="CU58" i="2" a="1"/>
  <c r="CW56" i="2" a="1"/>
  <c r="CV66" i="2" a="1"/>
  <c r="CX65" i="2" a="1"/>
  <c r="CP67" i="2" a="1"/>
  <c r="CP70" i="2" a="1"/>
  <c r="CP72" i="2" a="1"/>
  <c r="CZ54" i="2" a="1"/>
  <c r="CZ58" i="2" a="1"/>
  <c r="CR75" i="2" a="1"/>
  <c r="CQ58" i="2" a="1"/>
  <c r="CU66" i="2" a="1"/>
  <c r="CY56" i="2" a="1"/>
  <c r="CY58" i="2" a="1"/>
  <c r="CU74" i="2" a="1"/>
  <c r="CP59" i="2" a="1"/>
  <c r="CW65" i="2" a="1"/>
  <c r="CX57" i="2" a="1"/>
  <c r="CX55" i="2" a="1"/>
  <c r="CT73" i="2" a="1"/>
  <c r="CR54" i="2" a="1"/>
  <c r="CY67" i="2" a="1"/>
  <c r="CT51" i="2" a="1"/>
  <c r="CT56" i="2" a="1"/>
  <c r="CR69" i="2" a="1"/>
  <c r="CU56" i="2" a="1"/>
  <c r="CT70" i="2" a="1"/>
  <c r="CS51" i="2" a="1"/>
  <c r="CS54" i="2" a="1"/>
  <c r="CU68" i="2" a="1"/>
  <c r="CW52" i="2" a="1"/>
  <c r="CR72" i="2" a="1"/>
  <c r="CV54" i="2" a="1"/>
  <c r="CV50" i="2" a="1"/>
  <c r="CX71" i="2" a="1"/>
  <c r="CY75" i="2" a="1"/>
  <c r="CX74" i="2" a="1"/>
  <c r="CS73" i="2" a="1"/>
  <c r="CW69" i="2" a="1"/>
  <c r="CS50" i="2" a="1"/>
  <c r="CV51" i="2" a="1"/>
  <c r="CQ56" i="2" a="1"/>
  <c r="CP52" i="2" a="1"/>
  <c r="CV73" i="2" a="1"/>
  <c r="CZ69" i="2" a="1"/>
  <c r="CR68" i="2" a="1"/>
  <c r="CQ71" i="2" a="1"/>
  <c r="CZ53" i="2" a="1"/>
  <c r="CZ59" i="2" a="1"/>
  <c r="CX75" i="2" a="1"/>
  <c r="CQ51" i="2" a="1"/>
  <c r="CX66" i="2" a="1"/>
  <c r="CY55" i="2" a="1"/>
  <c r="CY53" i="2" a="1"/>
  <c r="CZ74" i="2" a="1"/>
  <c r="CP51" i="2" a="1"/>
  <c r="CS65" i="2" a="1"/>
  <c r="CX51" i="2" a="1"/>
  <c r="CX53" i="2" a="1"/>
  <c r="CY73" i="2" a="1"/>
  <c r="CR51" i="2" a="1"/>
  <c r="CU67" i="2" a="1"/>
  <c r="CT58" i="2" a="1"/>
  <c r="CT54" i="2" a="1"/>
  <c r="CY69" i="2" a="1"/>
  <c r="CU55" i="2" a="1"/>
  <c r="CY70" i="2" a="1"/>
  <c r="CS57" i="2" a="1"/>
  <c r="CS56" i="2" a="1"/>
  <c r="CQ68" i="2" a="1"/>
  <c r="CW54" i="2" a="1"/>
  <c r="CZ72" i="2" a="1"/>
  <c r="CV55" i="2" a="1"/>
  <c r="CV56" i="2" a="1"/>
  <c r="CT71" i="2" a="1"/>
  <c r="CS66" i="2" a="1"/>
  <c r="CP54" i="2" a="1"/>
  <c r="CR55" i="2" a="1"/>
  <c r="CU53" i="2" a="1"/>
  <c r="CU72" i="2" a="1"/>
  <c r="CP66" i="2" a="1"/>
  <c r="CU65" i="2" a="1"/>
  <c r="CT59" i="2" a="1"/>
  <c r="CS52" i="2" a="1"/>
  <c r="CV59" i="2" a="1"/>
  <c r="CZ55" i="2" a="1"/>
  <c r="CP75" i="2" a="1"/>
  <c r="CW75" i="2" a="1"/>
  <c r="CQ52" i="2" a="1"/>
  <c r="CT66" i="2" a="1"/>
  <c r="CY52" i="2" a="1"/>
  <c r="CP74" i="2" a="1"/>
  <c r="CV74" i="2" a="1"/>
  <c r="CP53" i="2" a="1"/>
  <c r="CZ65" i="2" a="1"/>
  <c r="CX50" i="2" a="1"/>
  <c r="CP73" i="2" a="1"/>
  <c r="CU73" i="2" a="1"/>
  <c r="CR50" i="2" a="1"/>
  <c r="CQ67" i="2" a="1"/>
  <c r="CT57" i="2" a="1"/>
  <c r="CP69" i="2" a="1"/>
  <c r="CU69" i="2" a="1"/>
  <c r="CU51" i="2" a="1"/>
  <c r="CQ70" i="2" a="1"/>
  <c r="CS58" i="2" a="1"/>
  <c r="CP68" i="2" a="1"/>
  <c r="CX68" i="2" a="1"/>
  <c r="CW55" i="2" a="1"/>
  <c r="CY72" i="2" a="1"/>
  <c r="CV58" i="2" a="1"/>
  <c r="CP71" i="2" a="1"/>
  <c r="CW71" i="2" a="1"/>
  <c r="CZ57" i="2" a="1"/>
  <c r="CY57" i="2" a="1"/>
  <c r="CX52" i="2" a="1"/>
  <c r="CX67" i="2" a="1"/>
  <c r="CS70" i="2" a="1"/>
  <c r="CW58" i="2" a="1"/>
  <c r="CZ51" i="2" a="1"/>
  <c r="CY50" i="2" a="1"/>
  <c r="CX54" i="2" a="1"/>
  <c r="CW67" i="2" a="1"/>
  <c r="CV70" i="2" a="1"/>
  <c r="CX72" i="2" a="1"/>
  <c r="CZ56" i="2" a="1"/>
  <c r="CV75" i="2" a="1"/>
  <c r="CS75" i="2" a="1"/>
  <c r="CQ55" i="2" a="1"/>
  <c r="CW66" i="2" a="1"/>
  <c r="CY51" i="2" a="1"/>
  <c r="CQ74" i="2" a="1"/>
  <c r="CR74" i="2" a="1"/>
  <c r="CP58" i="2" a="1"/>
  <c r="CV65" i="2" a="1"/>
  <c r="CX56" i="2" a="1"/>
  <c r="CW73" i="2" a="1"/>
  <c r="CQ73" i="2" a="1"/>
  <c r="CR59" i="2" a="1"/>
  <c r="CZ67" i="2" a="1"/>
  <c r="CT53" i="2" a="1"/>
  <c r="CX69" i="2" a="1"/>
  <c r="CQ69" i="2" a="1"/>
  <c r="CU57" i="2" a="1"/>
  <c r="CW70" i="2" a="1"/>
  <c r="CS59" i="2" a="1"/>
  <c r="CW68" i="2" a="1"/>
  <c r="CT68" i="2" a="1"/>
  <c r="CW50" i="2" a="1"/>
  <c r="CQ72" i="2" a="1"/>
  <c r="CV53" i="2" a="1"/>
  <c r="CR71" i="2" a="1"/>
  <c r="CS71" i="2" a="1"/>
  <c r="CQ54" i="2" a="1"/>
  <c r="CR65" i="2" a="1"/>
  <c r="CT50" i="2" a="1"/>
  <c r="CZ68" i="2" a="1"/>
  <c r="CY71" i="2" a="1"/>
  <c r="CU75" i="2" a="1"/>
  <c r="CW74" i="2" a="1"/>
  <c r="CR52" i="2" a="1"/>
  <c r="CU54" i="2" a="1"/>
  <c r="CW57" i="2" a="1"/>
  <c r="CZ52" i="2" a="1"/>
  <c r="CQ75" i="2" a="1"/>
  <c r="CQ59" i="2" a="1"/>
  <c r="CQ50" i="2" a="1"/>
  <c r="CZ66" i="2" a="1"/>
  <c r="CY59" i="2" a="1"/>
  <c r="CT74" i="2" a="1"/>
  <c r="CP56" i="2" a="1"/>
  <c r="CP55" i="2" a="1"/>
  <c r="CY65" i="2" a="1"/>
  <c r="CX59" i="2" a="1"/>
  <c r="CZ73" i="2" a="1"/>
  <c r="CR57" i="2" a="1"/>
  <c r="CR53" i="2" a="1"/>
  <c r="CT67" i="2" a="1"/>
  <c r="CT55" i="2" a="1"/>
  <c r="CS69" i="2" a="1"/>
  <c r="CU59" i="2" a="1"/>
  <c r="CU52" i="2" a="1"/>
  <c r="CZ70" i="2" a="1"/>
  <c r="CS53" i="2" a="1"/>
  <c r="CV68" i="2" a="1"/>
  <c r="CW51" i="2" a="1"/>
  <c r="CW59" i="2" a="1"/>
  <c r="CS72" i="2" a="1"/>
  <c r="CV57" i="2" a="1"/>
  <c r="CU71" i="2" a="1"/>
  <c r="CS71" i="2" l="1"/>
  <c r="CW71" i="2"/>
  <c r="CT71" i="2"/>
  <c r="CX71" i="2"/>
  <c r="CZ71" i="2"/>
  <c r="CQ71" i="2"/>
  <c r="CU71" i="2"/>
  <c r="CY71" i="2"/>
  <c r="CR71" i="2"/>
  <c r="CP71" i="2"/>
  <c r="CV56" i="2"/>
  <c r="CV50" i="2"/>
  <c r="CV52" i="2"/>
  <c r="CV59" i="2"/>
  <c r="CV57" i="2"/>
  <c r="CV51" i="2"/>
  <c r="CV53" i="2"/>
  <c r="CV58" i="2"/>
  <c r="CV55" i="2"/>
  <c r="CV54" i="2"/>
  <c r="CT72" i="2"/>
  <c r="CX72" i="2"/>
  <c r="CS72" i="2"/>
  <c r="CU72" i="2"/>
  <c r="CQ72" i="2"/>
  <c r="CY72" i="2"/>
  <c r="CZ72" i="2"/>
  <c r="CR72" i="2"/>
  <c r="CV72" i="2"/>
  <c r="CP72" i="2"/>
  <c r="CW59" i="2"/>
  <c r="CW58" i="2"/>
  <c r="CW50" i="2"/>
  <c r="CW55" i="2"/>
  <c r="CW54" i="2"/>
  <c r="CW52" i="2"/>
  <c r="CW53" i="2"/>
  <c r="CW57" i="2"/>
  <c r="CW51" i="2"/>
  <c r="CW56" i="2"/>
  <c r="CT68" i="2"/>
  <c r="CX68" i="2"/>
  <c r="CQ68" i="2"/>
  <c r="CU68" i="2"/>
  <c r="CY68" i="2"/>
  <c r="CR68" i="2"/>
  <c r="CV68" i="2"/>
  <c r="CZ68" i="2"/>
  <c r="CW68" i="2"/>
  <c r="CP68" i="2"/>
  <c r="CS56" i="2"/>
  <c r="CS54" i="2"/>
  <c r="CS55" i="2"/>
  <c r="CS52" i="2"/>
  <c r="CS53" i="2"/>
  <c r="CS50" i="2"/>
  <c r="CS59" i="2"/>
  <c r="CS58" i="2"/>
  <c r="CS57" i="2"/>
  <c r="CS51" i="2"/>
  <c r="CR70" i="2"/>
  <c r="CV70" i="2"/>
  <c r="CZ70" i="2"/>
  <c r="CS70" i="2"/>
  <c r="CW70" i="2"/>
  <c r="CQ70" i="2"/>
  <c r="CY70" i="2"/>
  <c r="CT70" i="2"/>
  <c r="CX70" i="2"/>
  <c r="CP70" i="2"/>
  <c r="CU52" i="2"/>
  <c r="CU53" i="2"/>
  <c r="CU57" i="2"/>
  <c r="CU51" i="2"/>
  <c r="CU55" i="2"/>
  <c r="CU56" i="2"/>
  <c r="CU50" i="2"/>
  <c r="CU54" i="2"/>
  <c r="CU59" i="2"/>
  <c r="CU58" i="2"/>
  <c r="CQ69" i="2"/>
  <c r="CU69" i="2"/>
  <c r="CY69" i="2"/>
  <c r="CR69" i="2"/>
  <c r="CV69" i="2"/>
  <c r="CZ69" i="2"/>
  <c r="CS69" i="2"/>
  <c r="CW69" i="2"/>
  <c r="CX69" i="2"/>
  <c r="CP69" i="2"/>
  <c r="CT54" i="2"/>
  <c r="CT56" i="2"/>
  <c r="CT52" i="2"/>
  <c r="CT59" i="2"/>
  <c r="CT55" i="2"/>
  <c r="CT50" i="2"/>
  <c r="CT53" i="2"/>
  <c r="CT57" i="2"/>
  <c r="CT58" i="2"/>
  <c r="CT51" i="2"/>
  <c r="CS67" i="2"/>
  <c r="CW67" i="2"/>
  <c r="CT67" i="2"/>
  <c r="CX67" i="2"/>
  <c r="CZ67" i="2"/>
  <c r="CQ67" i="2"/>
  <c r="CU67" i="2"/>
  <c r="CY67" i="2"/>
  <c r="CV67" i="2"/>
  <c r="CP67" i="2"/>
  <c r="CR53" i="2"/>
  <c r="CR55" i="2"/>
  <c r="CR59" i="2"/>
  <c r="CR50" i="2"/>
  <c r="CR51" i="2"/>
  <c r="CR54" i="2"/>
  <c r="CR58" i="2"/>
  <c r="CR52" i="2"/>
  <c r="CR57" i="2"/>
  <c r="CR56" i="2"/>
  <c r="CQ73" i="2"/>
  <c r="CU73" i="2"/>
  <c r="CY73" i="2"/>
  <c r="CT73" i="2"/>
  <c r="CR73" i="2"/>
  <c r="CV73" i="2"/>
  <c r="CZ73" i="2"/>
  <c r="CS73" i="2"/>
  <c r="CW73" i="2"/>
  <c r="CP73" i="2"/>
  <c r="CX53" i="2"/>
  <c r="CX55" i="2"/>
  <c r="CX58" i="2"/>
  <c r="CX54" i="2"/>
  <c r="CX59" i="2"/>
  <c r="CX52" i="2"/>
  <c r="CX56" i="2"/>
  <c r="CX50" i="2"/>
  <c r="CX51" i="2"/>
  <c r="CX57" i="2"/>
  <c r="CQ65" i="2"/>
  <c r="CU65" i="2"/>
  <c r="CY65" i="2"/>
  <c r="CR65" i="2"/>
  <c r="CV65" i="2"/>
  <c r="CZ65" i="2"/>
  <c r="CS65" i="2"/>
  <c r="CW65" i="2"/>
  <c r="CT65" i="2"/>
  <c r="CX65" i="2"/>
  <c r="CP55" i="2"/>
  <c r="CP54" i="2"/>
  <c r="CP58" i="2"/>
  <c r="CP53" i="2"/>
  <c r="CP51" i="2"/>
  <c r="CP59" i="2"/>
  <c r="CP50" i="2"/>
  <c r="CP52" i="2"/>
  <c r="CP56" i="2"/>
  <c r="CP57" i="2"/>
  <c r="CR74" i="2"/>
  <c r="CV74" i="2"/>
  <c r="CZ74" i="2"/>
  <c r="CU74" i="2"/>
  <c r="CS74" i="2"/>
  <c r="CW74" i="2"/>
  <c r="CT74" i="2"/>
  <c r="CX74" i="2"/>
  <c r="CQ74" i="2"/>
  <c r="CP74" i="2"/>
  <c r="CY53" i="2"/>
  <c r="CY58" i="2"/>
  <c r="CY54" i="2"/>
  <c r="CY50" i="2"/>
  <c r="CY59" i="2"/>
  <c r="CY57" i="2"/>
  <c r="CY51" i="2"/>
  <c r="CY52" i="2"/>
  <c r="CY55" i="2"/>
  <c r="CY56" i="2"/>
  <c r="CR66" i="2"/>
  <c r="CV66" i="2"/>
  <c r="CZ66" i="2"/>
  <c r="CS66" i="2"/>
  <c r="CW66" i="2"/>
  <c r="CT66" i="2"/>
  <c r="CX66" i="2"/>
  <c r="CU66" i="2"/>
  <c r="CY66" i="2"/>
  <c r="CP66" i="2"/>
  <c r="CQ50" i="2"/>
  <c r="CQ53" i="2"/>
  <c r="CQ55" i="2"/>
  <c r="CQ52" i="2"/>
  <c r="CQ51" i="2"/>
  <c r="CQ58" i="2"/>
  <c r="CQ57" i="2"/>
  <c r="CQ56" i="2"/>
  <c r="CQ59" i="2"/>
  <c r="CQ54" i="2"/>
  <c r="CS75" i="2"/>
  <c r="CW75" i="2"/>
  <c r="CX75" i="2"/>
  <c r="CR75" i="2"/>
  <c r="CT75" i="2"/>
  <c r="CU75" i="2"/>
  <c r="CQ75" i="2"/>
  <c r="CY75" i="2"/>
  <c r="CV75" i="2"/>
  <c r="CP75" i="2"/>
  <c r="CZ59" i="2"/>
  <c r="CZ58" i="2"/>
  <c r="CZ50" i="2"/>
  <c r="CZ51" i="2"/>
  <c r="CZ52" i="2"/>
  <c r="CZ57" i="2"/>
  <c r="CZ56" i="2"/>
  <c r="CZ55" i="2"/>
  <c r="CZ53" i="2"/>
  <c r="CZ54" i="2"/>
  <c r="U38" i="1"/>
  <c r="U37" i="1"/>
  <c r="U41" i="1"/>
  <c r="U40" i="1"/>
  <c r="U39" i="1"/>
  <c r="U36" i="1"/>
  <c r="U35" i="1"/>
  <c r="AB40" i="1"/>
  <c r="AB37" i="1"/>
  <c r="AB38" i="1"/>
  <c r="AB36" i="1"/>
  <c r="AB39" i="1"/>
  <c r="CH38" i="2"/>
  <c r="AB35" i="1"/>
  <c r="AB41" i="1"/>
  <c r="BD39" i="1"/>
  <c r="AW37" i="1"/>
  <c r="BR37" i="1"/>
  <c r="BK37" i="1"/>
  <c r="AW35" i="1"/>
  <c r="BR35" i="1"/>
  <c r="BD36" i="1"/>
  <c r="AP40" i="1"/>
  <c r="BD38" i="1"/>
  <c r="G37" i="1"/>
  <c r="AI39" i="1"/>
  <c r="BD37" i="1"/>
  <c r="G41" i="1"/>
  <c r="AI41" i="1"/>
  <c r="G40" i="1"/>
  <c r="AI40" i="1"/>
  <c r="AI38" i="1"/>
  <c r="G39" i="1"/>
  <c r="AW40" i="1"/>
  <c r="N41" i="1"/>
  <c r="BR36" i="1"/>
  <c r="BK35" i="1"/>
  <c r="BD35" i="1"/>
  <c r="G38" i="1"/>
  <c r="AI37" i="1"/>
  <c r="N40" i="1"/>
  <c r="BK41" i="1"/>
  <c r="BD40" i="1"/>
  <c r="G36" i="1"/>
  <c r="AI36" i="1"/>
  <c r="N39" i="1"/>
  <c r="BD41" i="1"/>
  <c r="AI35" i="1"/>
  <c r="AW41" i="1"/>
  <c r="N38" i="1"/>
  <c r="BR40" i="1"/>
  <c r="BK40" i="1"/>
  <c r="AP39" i="1"/>
  <c r="AW38" i="1"/>
  <c r="N36" i="1"/>
  <c r="BR39" i="1"/>
  <c r="BK39" i="1"/>
  <c r="AP38" i="1"/>
  <c r="AW39" i="1"/>
  <c r="N35" i="1"/>
  <c r="BR38" i="1"/>
  <c r="BK38" i="1"/>
  <c r="AP37" i="1"/>
  <c r="AP36" i="1"/>
  <c r="AW36" i="1"/>
  <c r="N37" i="1"/>
  <c r="BR41" i="1"/>
  <c r="BK36" i="1"/>
  <c r="AP35" i="1"/>
  <c r="AP41" i="1"/>
  <c r="DA73" i="2" a="1"/>
  <c r="DA75" i="2" a="1"/>
  <c r="DA58" i="2" a="1"/>
  <c r="CR76" i="2" a="1"/>
  <c r="DA71" i="2" a="1"/>
  <c r="CX76" i="2" a="1"/>
  <c r="CZ76" i="2" a="1"/>
  <c r="DA50" i="2" a="1"/>
  <c r="DA72" i="2" a="1"/>
  <c r="CP76" i="2" a="1"/>
  <c r="DA56" i="2" a="1"/>
  <c r="CS76" i="2" a="1"/>
  <c r="DA68" i="2" a="1"/>
  <c r="CU76" i="2" a="1"/>
  <c r="DA54" i="2" a="1"/>
  <c r="DA57" i="2" a="1"/>
  <c r="DA70" i="2" a="1"/>
  <c r="DA52" i="2" a="1"/>
  <c r="DA69" i="2" a="1"/>
  <c r="CY76" i="2" a="1"/>
  <c r="DA51" i="2" a="1"/>
  <c r="DA65" i="2" a="1"/>
  <c r="CV76" i="2" a="1"/>
  <c r="DA53" i="2" a="1"/>
  <c r="DA74" i="2" a="1"/>
  <c r="CW76" i="2" a="1"/>
  <c r="DA66" i="2" a="1"/>
  <c r="DA55" i="2" a="1"/>
  <c r="CQ76" i="2" a="1"/>
  <c r="DA67" i="2" a="1"/>
  <c r="DA59" i="2" a="1"/>
  <c r="CT76" i="2" a="1"/>
  <c r="BT56" i="2" l="1"/>
  <c r="AD47" i="2"/>
  <c r="BM55" i="2"/>
  <c r="AD54" i="2"/>
  <c r="BM48" i="2"/>
  <c r="BF50" i="2"/>
  <c r="AD51" i="2"/>
  <c r="CA49" i="2"/>
  <c r="AR53" i="2"/>
  <c r="BT52" i="2"/>
  <c r="P56" i="2"/>
  <c r="CA47" i="2"/>
  <c r="AK55" i="2"/>
  <c r="CA54" i="2"/>
  <c r="AK48" i="2"/>
  <c r="AD50" i="2"/>
  <c r="CA51" i="2"/>
  <c r="AY49" i="2"/>
  <c r="AD53" i="2"/>
  <c r="AR52" i="2"/>
  <c r="AR56" i="2"/>
  <c r="I47" i="2"/>
  <c r="AY47" i="2"/>
  <c r="BF55" i="2"/>
  <c r="AY54" i="2"/>
  <c r="I48" i="2"/>
  <c r="BF48" i="2"/>
  <c r="CA50" i="2"/>
  <c r="I51" i="2"/>
  <c r="AY51" i="2"/>
  <c r="W49" i="2"/>
  <c r="I53" i="2"/>
  <c r="BM53" i="2"/>
  <c r="P52" i="2"/>
  <c r="W47" i="2"/>
  <c r="W54" i="2"/>
  <c r="AY48" i="2"/>
  <c r="AD48" i="2"/>
  <c r="AY50" i="2"/>
  <c r="BM51" i="2"/>
  <c r="W51" i="2"/>
  <c r="BT49" i="2"/>
  <c r="AY53" i="2"/>
  <c r="AK53" i="2"/>
  <c r="CA52" i="2"/>
  <c r="AR55" i="2"/>
  <c r="AR49" i="2"/>
  <c r="AK56" i="2"/>
  <c r="AD55" i="2"/>
  <c r="AR48" i="2"/>
  <c r="BT50" i="2"/>
  <c r="BT51" i="2"/>
  <c r="P49" i="2"/>
  <c r="CA53" i="2"/>
  <c r="AK52" i="2"/>
  <c r="BT47" i="2"/>
  <c r="W56" i="2"/>
  <c r="AR47" i="2"/>
  <c r="AK54" i="2"/>
  <c r="BT48" i="2"/>
  <c r="W50" i="2"/>
  <c r="AK51" i="2"/>
  <c r="W53" i="2"/>
  <c r="BM52" i="2"/>
  <c r="BM56" i="2"/>
  <c r="BM47" i="2"/>
  <c r="CA55" i="2"/>
  <c r="BT54" i="2"/>
  <c r="I56" i="2"/>
  <c r="BF56" i="2"/>
  <c r="AK47" i="2"/>
  <c r="I55" i="2"/>
  <c r="AY55" i="2"/>
  <c r="I54" i="2"/>
  <c r="AR54" i="2"/>
  <c r="P48" i="2"/>
  <c r="I50" i="2"/>
  <c r="AR50" i="2"/>
  <c r="P51" i="2"/>
  <c r="I49" i="2"/>
  <c r="BM49" i="2"/>
  <c r="BT53" i="2"/>
  <c r="I52" i="2"/>
  <c r="BF52" i="2"/>
  <c r="AY56" i="2"/>
  <c r="AD56" i="2"/>
  <c r="BF47" i="2"/>
  <c r="P55" i="2"/>
  <c r="W55" i="2"/>
  <c r="BF54" i="2"/>
  <c r="P54" i="2"/>
  <c r="CA48" i="2"/>
  <c r="BM50" i="2"/>
  <c r="P50" i="2"/>
  <c r="BF51" i="2"/>
  <c r="BF49" i="2"/>
  <c r="AK49" i="2"/>
  <c r="P53" i="2"/>
  <c r="W52" i="2"/>
  <c r="AD52" i="2"/>
  <c r="W46" i="2"/>
  <c r="BM46" i="2"/>
  <c r="AR46" i="2"/>
  <c r="BT46" i="2"/>
  <c r="AK46" i="2"/>
  <c r="AD46" i="2"/>
  <c r="BF46" i="2"/>
  <c r="CA46" i="2"/>
  <c r="AY46" i="2"/>
  <c r="P46" i="2"/>
  <c r="DA75" i="2"/>
  <c r="CP126" i="2" s="1"/>
  <c r="DA66" i="2"/>
  <c r="CP117" i="2" s="1"/>
  <c r="DA74" i="2"/>
  <c r="CP125" i="2" s="1"/>
  <c r="DA65" i="2"/>
  <c r="CP116" i="2" s="1"/>
  <c r="DA58" i="2"/>
  <c r="DA57" i="2"/>
  <c r="DD57" i="2" s="1"/>
  <c r="DF57" i="2" s="1"/>
  <c r="DA56" i="2"/>
  <c r="DD56" i="2" s="1"/>
  <c r="DF56" i="2" s="1"/>
  <c r="DA50" i="2"/>
  <c r="DA55" i="2"/>
  <c r="DD55" i="2" s="1"/>
  <c r="DF55" i="2" s="1"/>
  <c r="DA59" i="2"/>
  <c r="DA53" i="2"/>
  <c r="DA51" i="2"/>
  <c r="DD51" i="2" s="1"/>
  <c r="DF51" i="2" s="1"/>
  <c r="DA52" i="2"/>
  <c r="DA54" i="2"/>
  <c r="DD54" i="2" s="1"/>
  <c r="DF54" i="2" s="1"/>
  <c r="CP76" i="2"/>
  <c r="CZ76" i="2"/>
  <c r="CR76" i="2"/>
  <c r="CW76" i="2"/>
  <c r="CV76" i="2"/>
  <c r="CY76" i="2"/>
  <c r="CQ76" i="2"/>
  <c r="CU76" i="2"/>
  <c r="CS76" i="2"/>
  <c r="CX76" i="2"/>
  <c r="CT76" i="2"/>
  <c r="DA73" i="2"/>
  <c r="CP124" i="2" s="1"/>
  <c r="BJ60" i="2" s="1"/>
  <c r="DA67" i="2"/>
  <c r="CP118" i="2" s="1"/>
  <c r="DA69" i="2"/>
  <c r="CP120" i="2" s="1"/>
  <c r="DA70" i="2"/>
  <c r="CP121" i="2" s="1"/>
  <c r="DA68" i="2"/>
  <c r="CP119" i="2" s="1"/>
  <c r="DA72" i="2"/>
  <c r="CP123" i="2" s="1"/>
  <c r="DA71" i="2"/>
  <c r="CP122" i="2" s="1"/>
  <c r="CS126" i="2" l="1"/>
  <c r="BX60" i="2"/>
  <c r="CS125" i="2"/>
  <c r="BQ60" i="2"/>
  <c r="CS123" i="2"/>
  <c r="BC60" i="2"/>
  <c r="CS124" i="2"/>
  <c r="CS122" i="2"/>
  <c r="AV60" i="2"/>
  <c r="CS121" i="2"/>
  <c r="AO60" i="2"/>
  <c r="CS120" i="2"/>
  <c r="AH60" i="2"/>
  <c r="CS119" i="2"/>
  <c r="AA60" i="2"/>
  <c r="CS118" i="2"/>
  <c r="T60" i="2"/>
  <c r="CS117" i="2"/>
  <c r="M60" i="2"/>
  <c r="CS116" i="2"/>
  <c r="F60" i="2"/>
  <c r="CP127" i="2"/>
  <c r="BT57" i="2"/>
  <c r="DG67" i="2"/>
  <c r="AY57" i="2"/>
  <c r="BF57" i="2"/>
  <c r="DG66" i="2"/>
  <c r="AD57" i="2"/>
  <c r="I57" i="2"/>
  <c r="AR57" i="2"/>
  <c r="P57" i="2"/>
  <c r="AK57" i="2"/>
  <c r="W57" i="2"/>
  <c r="BM57" i="2"/>
  <c r="CA57" i="2"/>
  <c r="DF65" i="2"/>
  <c r="DG65" i="2"/>
  <c r="DD53" i="2"/>
  <c r="DF53" i="2" s="1"/>
  <c r="DD52" i="2"/>
  <c r="DF52" i="2" s="1"/>
  <c r="DD59" i="2"/>
  <c r="DF59" i="2" s="1"/>
  <c r="DD58" i="2"/>
  <c r="DF58" i="2" s="1"/>
  <c r="DD50" i="2"/>
  <c r="DF50" i="2" s="1"/>
  <c r="DG71" i="2"/>
  <c r="CH52" i="2"/>
  <c r="DF72" i="2"/>
  <c r="CH53" i="2"/>
  <c r="DG69" i="2"/>
  <c r="CH50" i="2"/>
  <c r="DF68" i="2"/>
  <c r="CH49" i="2"/>
  <c r="DF70" i="2"/>
  <c r="CH51" i="2"/>
  <c r="DF67" i="2"/>
  <c r="CH48" i="2"/>
  <c r="DG74" i="2"/>
  <c r="CH55" i="2"/>
  <c r="DF66" i="2"/>
  <c r="CH47" i="2"/>
  <c r="DG73" i="2"/>
  <c r="CH54" i="2"/>
  <c r="DF75" i="2"/>
  <c r="CH56" i="2"/>
  <c r="CH46" i="2"/>
  <c r="DG72" i="2"/>
  <c r="DF74" i="2"/>
  <c r="DF73" i="2"/>
  <c r="DG75" i="2"/>
  <c r="DG68" i="2"/>
  <c r="DF69" i="2"/>
  <c r="DG70" i="2"/>
  <c r="DF71" i="2"/>
  <c r="DF76" i="2"/>
  <c r="DG76" i="2"/>
  <c r="CS127" i="2" l="1"/>
  <c r="CE60" i="2"/>
  <c r="CU118" i="2"/>
  <c r="AJ44" i="3"/>
  <c r="BL44" i="3"/>
  <c r="V44" i="3"/>
  <c r="AC44" i="3"/>
  <c r="BE44" i="3"/>
  <c r="O44" i="3"/>
  <c r="O32" i="3" s="1"/>
  <c r="BL33" i="3" l="1"/>
  <c r="BM34" i="3"/>
  <c r="BN35" i="3"/>
  <c r="BO36" i="3"/>
  <c r="BP37" i="3"/>
  <c r="BQ38" i="3"/>
  <c r="BR39" i="3"/>
  <c r="BR40" i="3"/>
  <c r="BM33" i="3"/>
  <c r="BN34" i="3"/>
  <c r="BO35" i="3"/>
  <c r="BP36" i="3"/>
  <c r="BQ37" i="3"/>
  <c r="BR38" i="3"/>
  <c r="BL40" i="3"/>
  <c r="BQ39" i="3"/>
  <c r="BN33" i="3"/>
  <c r="BO34" i="3"/>
  <c r="BP35" i="3"/>
  <c r="BQ36" i="3"/>
  <c r="BR37" i="3"/>
  <c r="BL39" i="3"/>
  <c r="BM40" i="3"/>
  <c r="BO37" i="3"/>
  <c r="BO33" i="3"/>
  <c r="BP34" i="3"/>
  <c r="BQ35" i="3"/>
  <c r="BR36" i="3"/>
  <c r="BL38" i="3"/>
  <c r="BM39" i="3"/>
  <c r="BN40" i="3"/>
  <c r="BP38" i="3"/>
  <c r="BP33" i="3"/>
  <c r="BQ34" i="3"/>
  <c r="BR35" i="3"/>
  <c r="BL37" i="3"/>
  <c r="BM38" i="3"/>
  <c r="BN39" i="3"/>
  <c r="BO40" i="3"/>
  <c r="BN36" i="3"/>
  <c r="BQ33" i="3"/>
  <c r="BR34" i="3"/>
  <c r="BL36" i="3"/>
  <c r="BM37" i="3"/>
  <c r="BN38" i="3"/>
  <c r="BO39" i="3"/>
  <c r="BP40" i="3"/>
  <c r="BM35" i="3"/>
  <c r="BR33" i="3"/>
  <c r="BL35" i="3"/>
  <c r="BM36" i="3"/>
  <c r="BN37" i="3"/>
  <c r="BO38" i="3"/>
  <c r="BP39" i="3"/>
  <c r="BQ40" i="3"/>
  <c r="BL34" i="3"/>
  <c r="BL32" i="3"/>
  <c r="BM32" i="3"/>
  <c r="BN32" i="3"/>
  <c r="BO32" i="3"/>
  <c r="BP32" i="3"/>
  <c r="BQ32" i="3"/>
  <c r="BR32" i="3"/>
  <c r="BE33" i="3"/>
  <c r="BF34" i="3"/>
  <c r="BG35" i="3"/>
  <c r="BH36" i="3"/>
  <c r="BI37" i="3"/>
  <c r="BJ38" i="3"/>
  <c r="BK39" i="3"/>
  <c r="BK40" i="3"/>
  <c r="BF33" i="3"/>
  <c r="BG34" i="3"/>
  <c r="BH35" i="3"/>
  <c r="BI36" i="3"/>
  <c r="BJ37" i="3"/>
  <c r="BK38" i="3"/>
  <c r="BE40" i="3"/>
  <c r="BI38" i="3"/>
  <c r="BG33" i="3"/>
  <c r="BH34" i="3"/>
  <c r="BI35" i="3"/>
  <c r="BJ36" i="3"/>
  <c r="BK37" i="3"/>
  <c r="BE39" i="3"/>
  <c r="BF40" i="3"/>
  <c r="BJ39" i="3"/>
  <c r="BH33" i="3"/>
  <c r="BI34" i="3"/>
  <c r="BJ35" i="3"/>
  <c r="BK36" i="3"/>
  <c r="BE38" i="3"/>
  <c r="BF39" i="3"/>
  <c r="BG40" i="3"/>
  <c r="BG36" i="3"/>
  <c r="BI33" i="3"/>
  <c r="BJ34" i="3"/>
  <c r="BK35" i="3"/>
  <c r="BE37" i="3"/>
  <c r="BF38" i="3"/>
  <c r="BG39" i="3"/>
  <c r="BH40" i="3"/>
  <c r="BH37" i="3"/>
  <c r="BJ33" i="3"/>
  <c r="BK34" i="3"/>
  <c r="BE36" i="3"/>
  <c r="BF37" i="3"/>
  <c r="BG38" i="3"/>
  <c r="BH39" i="3"/>
  <c r="BI40" i="3"/>
  <c r="BF35" i="3"/>
  <c r="BK33" i="3"/>
  <c r="BE35" i="3"/>
  <c r="BF36" i="3"/>
  <c r="BG37" i="3"/>
  <c r="BH38" i="3"/>
  <c r="BI39" i="3"/>
  <c r="BJ40" i="3"/>
  <c r="BE34" i="3"/>
  <c r="BE32" i="3"/>
  <c r="BF32" i="3"/>
  <c r="BG32" i="3"/>
  <c r="BH32" i="3"/>
  <c r="BI32" i="3"/>
  <c r="BJ32" i="3"/>
  <c r="BK32" i="3"/>
  <c r="AJ33" i="3"/>
  <c r="AK34" i="3"/>
  <c r="AL35" i="3"/>
  <c r="AM36" i="3"/>
  <c r="AN37" i="3"/>
  <c r="AO38" i="3"/>
  <c r="AP39" i="3"/>
  <c r="AP40" i="3"/>
  <c r="AK33" i="3"/>
  <c r="AL34" i="3"/>
  <c r="AM35" i="3"/>
  <c r="AN36" i="3"/>
  <c r="AO37" i="3"/>
  <c r="AP38" i="3"/>
  <c r="AJ40" i="3"/>
  <c r="AL33" i="3"/>
  <c r="AM34" i="3"/>
  <c r="AN35" i="3"/>
  <c r="AO36" i="3"/>
  <c r="AP37" i="3"/>
  <c r="AJ39" i="3"/>
  <c r="AK40" i="3"/>
  <c r="AM37" i="3"/>
  <c r="AM33" i="3"/>
  <c r="AN34" i="3"/>
  <c r="AO35" i="3"/>
  <c r="AP36" i="3"/>
  <c r="AJ38" i="3"/>
  <c r="AK39" i="3"/>
  <c r="AL40" i="3"/>
  <c r="AN38" i="3"/>
  <c r="AN33" i="3"/>
  <c r="AO34" i="3"/>
  <c r="AP35" i="3"/>
  <c r="AJ37" i="3"/>
  <c r="AK38" i="3"/>
  <c r="AL39" i="3"/>
  <c r="AM40" i="3"/>
  <c r="AK35" i="3"/>
  <c r="AO33" i="3"/>
  <c r="AP34" i="3"/>
  <c r="AJ36" i="3"/>
  <c r="AK37" i="3"/>
  <c r="AL38" i="3"/>
  <c r="AM39" i="3"/>
  <c r="AN40" i="3"/>
  <c r="AL36" i="3"/>
  <c r="AP33" i="3"/>
  <c r="AJ35" i="3"/>
  <c r="AK36" i="3"/>
  <c r="AL37" i="3"/>
  <c r="AM38" i="3"/>
  <c r="AN39" i="3"/>
  <c r="AO40" i="3"/>
  <c r="AJ34" i="3"/>
  <c r="AO39" i="3"/>
  <c r="AJ32" i="3"/>
  <c r="AK32" i="3"/>
  <c r="AL32" i="3"/>
  <c r="AM32" i="3"/>
  <c r="AN32" i="3"/>
  <c r="AO32" i="3"/>
  <c r="AP32" i="3"/>
  <c r="AC33" i="3"/>
  <c r="AD34" i="3"/>
  <c r="AE35" i="3"/>
  <c r="AF36" i="3"/>
  <c r="AG37" i="3"/>
  <c r="AH38" i="3"/>
  <c r="AI39" i="3"/>
  <c r="AF37" i="3"/>
  <c r="AD33" i="3"/>
  <c r="AE34" i="3"/>
  <c r="AF35" i="3"/>
  <c r="AG36" i="3"/>
  <c r="AH37" i="3"/>
  <c r="AI38" i="3"/>
  <c r="AC40" i="3"/>
  <c r="AI40" i="3"/>
  <c r="AE33" i="3"/>
  <c r="AF34" i="3"/>
  <c r="AG35" i="3"/>
  <c r="AH36" i="3"/>
  <c r="AI37" i="3"/>
  <c r="AC39" i="3"/>
  <c r="AD40" i="3"/>
  <c r="AH39" i="3"/>
  <c r="AF33" i="3"/>
  <c r="AG34" i="3"/>
  <c r="AH35" i="3"/>
  <c r="AI36" i="3"/>
  <c r="AC38" i="3"/>
  <c r="AD39" i="3"/>
  <c r="AE40" i="3"/>
  <c r="AG38" i="3"/>
  <c r="AG33" i="3"/>
  <c r="AH34" i="3"/>
  <c r="AI35" i="3"/>
  <c r="AC37" i="3"/>
  <c r="AD38" i="3"/>
  <c r="AE39" i="3"/>
  <c r="AF40" i="3"/>
  <c r="AD35" i="3"/>
  <c r="AH33" i="3"/>
  <c r="AI34" i="3"/>
  <c r="AC36" i="3"/>
  <c r="AD37" i="3"/>
  <c r="AE38" i="3"/>
  <c r="AF39" i="3"/>
  <c r="AG40" i="3"/>
  <c r="AE36" i="3"/>
  <c r="AI33" i="3"/>
  <c r="AC35" i="3"/>
  <c r="AD36" i="3"/>
  <c r="AE37" i="3"/>
  <c r="AF38" i="3"/>
  <c r="AG39" i="3"/>
  <c r="AH40" i="3"/>
  <c r="AC34" i="3"/>
  <c r="AC32" i="3"/>
  <c r="AD32" i="3"/>
  <c r="AE32" i="3"/>
  <c r="AF32" i="3"/>
  <c r="AG32" i="3"/>
  <c r="AH32" i="3"/>
  <c r="AI32" i="3"/>
  <c r="V33" i="3"/>
  <c r="W34" i="3"/>
  <c r="X35" i="3"/>
  <c r="Y36" i="3"/>
  <c r="Z37" i="3"/>
  <c r="AA38" i="3"/>
  <c r="AB39" i="3"/>
  <c r="AB40" i="3"/>
  <c r="W33" i="3"/>
  <c r="X34" i="3"/>
  <c r="Y35" i="3"/>
  <c r="Z36" i="3"/>
  <c r="AA37" i="3"/>
  <c r="AB38" i="3"/>
  <c r="V40" i="3"/>
  <c r="AA39" i="3"/>
  <c r="X33" i="3"/>
  <c r="Y34" i="3"/>
  <c r="Z35" i="3"/>
  <c r="AA36" i="3"/>
  <c r="AB37" i="3"/>
  <c r="V39" i="3"/>
  <c r="W40" i="3"/>
  <c r="Y37" i="3"/>
  <c r="Y33" i="3"/>
  <c r="Z34" i="3"/>
  <c r="AA35" i="3"/>
  <c r="AB36" i="3"/>
  <c r="V38" i="3"/>
  <c r="W39" i="3"/>
  <c r="X40" i="3"/>
  <c r="X36" i="3"/>
  <c r="Z33" i="3"/>
  <c r="AA34" i="3"/>
  <c r="AB35" i="3"/>
  <c r="V37" i="3"/>
  <c r="W38" i="3"/>
  <c r="X39" i="3"/>
  <c r="Y40" i="3"/>
  <c r="Z38" i="3"/>
  <c r="AA33" i="3"/>
  <c r="AB34" i="3"/>
  <c r="V36" i="3"/>
  <c r="W37" i="3"/>
  <c r="X38" i="3"/>
  <c r="Y39" i="3"/>
  <c r="Z40" i="3"/>
  <c r="W35" i="3"/>
  <c r="AB33" i="3"/>
  <c r="V35" i="3"/>
  <c r="W36" i="3"/>
  <c r="X37" i="3"/>
  <c r="Y38" i="3"/>
  <c r="Z39" i="3"/>
  <c r="AA40" i="3"/>
  <c r="V34" i="3"/>
  <c r="V32" i="3"/>
  <c r="W32" i="3"/>
  <c r="X32" i="3"/>
  <c r="Y32" i="3"/>
  <c r="Z32" i="3"/>
  <c r="AA32" i="3"/>
  <c r="AB32" i="3"/>
  <c r="O33" i="3"/>
  <c r="P34" i="3"/>
  <c r="Q35" i="3"/>
  <c r="R36" i="3"/>
  <c r="S37" i="3"/>
  <c r="T38" i="3"/>
  <c r="U39" i="3"/>
  <c r="R37" i="3"/>
  <c r="P33" i="3"/>
  <c r="Q34" i="3"/>
  <c r="R35" i="3"/>
  <c r="S36" i="3"/>
  <c r="T37" i="3"/>
  <c r="U38" i="3"/>
  <c r="O40" i="3"/>
  <c r="U40" i="3"/>
  <c r="Q33" i="3"/>
  <c r="R34" i="3"/>
  <c r="S35" i="3"/>
  <c r="T36" i="3"/>
  <c r="U37" i="3"/>
  <c r="O39" i="3"/>
  <c r="P40" i="3"/>
  <c r="S38" i="3"/>
  <c r="R33" i="3"/>
  <c r="S34" i="3"/>
  <c r="T35" i="3"/>
  <c r="U36" i="3"/>
  <c r="O38" i="3"/>
  <c r="P39" i="3"/>
  <c r="Q40" i="3"/>
  <c r="T39" i="3"/>
  <c r="S33" i="3"/>
  <c r="T34" i="3"/>
  <c r="U35" i="3"/>
  <c r="O37" i="3"/>
  <c r="P38" i="3"/>
  <c r="Q39" i="3"/>
  <c r="R40" i="3"/>
  <c r="Q36" i="3"/>
  <c r="T33" i="3"/>
  <c r="U34" i="3"/>
  <c r="O36" i="3"/>
  <c r="P37" i="3"/>
  <c r="Q38" i="3"/>
  <c r="R39" i="3"/>
  <c r="S40" i="3"/>
  <c r="P35" i="3"/>
  <c r="U33" i="3"/>
  <c r="O35" i="3"/>
  <c r="P36" i="3"/>
  <c r="Q37" i="3"/>
  <c r="R38" i="3"/>
  <c r="S39" i="3"/>
  <c r="T40" i="3"/>
  <c r="O34" i="3"/>
  <c r="P32" i="3"/>
  <c r="Q32" i="3"/>
  <c r="R32" i="3"/>
  <c r="S32" i="3"/>
  <c r="T32" i="3"/>
  <c r="U32" i="3"/>
  <c r="AQ44" i="3"/>
  <c r="BS44" i="3"/>
  <c r="AX44" i="3"/>
  <c r="BZ44" i="3"/>
  <c r="BZ33" i="3" l="1"/>
  <c r="CA34" i="3"/>
  <c r="CB35" i="3"/>
  <c r="CC36" i="3"/>
  <c r="CD37" i="3"/>
  <c r="CE38" i="3"/>
  <c r="CF39" i="3"/>
  <c r="CF40" i="3"/>
  <c r="CA33" i="3"/>
  <c r="CB34" i="3"/>
  <c r="CC35" i="3"/>
  <c r="CD36" i="3"/>
  <c r="CE37" i="3"/>
  <c r="CF38" i="3"/>
  <c r="BZ40" i="3"/>
  <c r="CE39" i="3"/>
  <c r="CB33" i="3"/>
  <c r="CC34" i="3"/>
  <c r="CD35" i="3"/>
  <c r="CE36" i="3"/>
  <c r="CF37" i="3"/>
  <c r="BZ39" i="3"/>
  <c r="CA40" i="3"/>
  <c r="CD38" i="3"/>
  <c r="CC33" i="3"/>
  <c r="CD34" i="3"/>
  <c r="CE35" i="3"/>
  <c r="CF36" i="3"/>
  <c r="BZ38" i="3"/>
  <c r="CA39" i="3"/>
  <c r="CB40" i="3"/>
  <c r="CC37" i="3"/>
  <c r="CD33" i="3"/>
  <c r="CE34" i="3"/>
  <c r="CF35" i="3"/>
  <c r="BZ37" i="3"/>
  <c r="CA38" i="3"/>
  <c r="CB39" i="3"/>
  <c r="CC40" i="3"/>
  <c r="CA35" i="3"/>
  <c r="CE33" i="3"/>
  <c r="CF34" i="3"/>
  <c r="BZ36" i="3"/>
  <c r="CA37" i="3"/>
  <c r="CB38" i="3"/>
  <c r="CC39" i="3"/>
  <c r="CD40" i="3"/>
  <c r="CB36" i="3"/>
  <c r="CF33" i="3"/>
  <c r="BZ35" i="3"/>
  <c r="CA36" i="3"/>
  <c r="CB37" i="3"/>
  <c r="CC38" i="3"/>
  <c r="CD39" i="3"/>
  <c r="CE40" i="3"/>
  <c r="BZ34" i="3"/>
  <c r="BZ32" i="3"/>
  <c r="CA32" i="3"/>
  <c r="CB32" i="3"/>
  <c r="CC32" i="3"/>
  <c r="CD32" i="3"/>
  <c r="CE32" i="3"/>
  <c r="CF32" i="3"/>
  <c r="BS33" i="3"/>
  <c r="BT34" i="3"/>
  <c r="BU35" i="3"/>
  <c r="BV36" i="3"/>
  <c r="BW37" i="3"/>
  <c r="BX38" i="3"/>
  <c r="BY39" i="3"/>
  <c r="BY40" i="3"/>
  <c r="BT33" i="3"/>
  <c r="BU34" i="3"/>
  <c r="BV35" i="3"/>
  <c r="BW36" i="3"/>
  <c r="BX37" i="3"/>
  <c r="BY38" i="3"/>
  <c r="BS40" i="3"/>
  <c r="BX39" i="3"/>
  <c r="BU33" i="3"/>
  <c r="BV34" i="3"/>
  <c r="BW35" i="3"/>
  <c r="BX36" i="3"/>
  <c r="BY37" i="3"/>
  <c r="BS39" i="3"/>
  <c r="BT40" i="3"/>
  <c r="BW38" i="3"/>
  <c r="BV33" i="3"/>
  <c r="BW34" i="3"/>
  <c r="BX35" i="3"/>
  <c r="BY36" i="3"/>
  <c r="BS38" i="3"/>
  <c r="BT39" i="3"/>
  <c r="BU40" i="3"/>
  <c r="BV37" i="3"/>
  <c r="BW33" i="3"/>
  <c r="BX34" i="3"/>
  <c r="BY35" i="3"/>
  <c r="BS37" i="3"/>
  <c r="BT38" i="3"/>
  <c r="BU39" i="3"/>
  <c r="BV40" i="3"/>
  <c r="BU36" i="3"/>
  <c r="BX33" i="3"/>
  <c r="BY34" i="3"/>
  <c r="BS36" i="3"/>
  <c r="BT37" i="3"/>
  <c r="BU38" i="3"/>
  <c r="BV39" i="3"/>
  <c r="BW40" i="3"/>
  <c r="BT35" i="3"/>
  <c r="BY33" i="3"/>
  <c r="BS35" i="3"/>
  <c r="BT36" i="3"/>
  <c r="BU37" i="3"/>
  <c r="BV38" i="3"/>
  <c r="BW39" i="3"/>
  <c r="BX40" i="3"/>
  <c r="BS34" i="3"/>
  <c r="BS32" i="3"/>
  <c r="BT32" i="3"/>
  <c r="BU32" i="3"/>
  <c r="BV32" i="3"/>
  <c r="BW32" i="3"/>
  <c r="BX32" i="3"/>
  <c r="BY32" i="3"/>
  <c r="AX33" i="3"/>
  <c r="AY34" i="3"/>
  <c r="AZ35" i="3"/>
  <c r="BA36" i="3"/>
  <c r="BB37" i="3"/>
  <c r="BC38" i="3"/>
  <c r="BD39" i="3"/>
  <c r="BD40" i="3"/>
  <c r="AY33" i="3"/>
  <c r="AZ34" i="3"/>
  <c r="BA35" i="3"/>
  <c r="BB36" i="3"/>
  <c r="BC37" i="3"/>
  <c r="BD38" i="3"/>
  <c r="AX40" i="3"/>
  <c r="BC39" i="3"/>
  <c r="AZ33" i="3"/>
  <c r="BA34" i="3"/>
  <c r="BB35" i="3"/>
  <c r="BC36" i="3"/>
  <c r="BD37" i="3"/>
  <c r="AX39" i="3"/>
  <c r="AY40" i="3"/>
  <c r="BA37" i="3"/>
  <c r="BA33" i="3"/>
  <c r="BB34" i="3"/>
  <c r="BC35" i="3"/>
  <c r="BD36" i="3"/>
  <c r="AX38" i="3"/>
  <c r="AY39" i="3"/>
  <c r="AZ40" i="3"/>
  <c r="BB38" i="3"/>
  <c r="BB33" i="3"/>
  <c r="BC34" i="3"/>
  <c r="BD35" i="3"/>
  <c r="AX37" i="3"/>
  <c r="AY38" i="3"/>
  <c r="AZ39" i="3"/>
  <c r="BA40" i="3"/>
  <c r="AZ36" i="3"/>
  <c r="BC33" i="3"/>
  <c r="BD34" i="3"/>
  <c r="AX36" i="3"/>
  <c r="AY37" i="3"/>
  <c r="AZ38" i="3"/>
  <c r="BA39" i="3"/>
  <c r="BB40" i="3"/>
  <c r="AY35" i="3"/>
  <c r="BD33" i="3"/>
  <c r="AX35" i="3"/>
  <c r="AY36" i="3"/>
  <c r="AZ37" i="3"/>
  <c r="BA38" i="3"/>
  <c r="BB39" i="3"/>
  <c r="BC40" i="3"/>
  <c r="AX34" i="3"/>
  <c r="AX32" i="3"/>
  <c r="AY32" i="3"/>
  <c r="AZ32" i="3"/>
  <c r="BA32" i="3"/>
  <c r="BB32" i="3"/>
  <c r="BC32" i="3"/>
  <c r="BD32" i="3"/>
  <c r="AQ33" i="3"/>
  <c r="AR34" i="3"/>
  <c r="AS35" i="3"/>
  <c r="AT36" i="3"/>
  <c r="AU37" i="3"/>
  <c r="AV38" i="3"/>
  <c r="AW39" i="3"/>
  <c r="AW40" i="3"/>
  <c r="AR33" i="3"/>
  <c r="AS34" i="3"/>
  <c r="AT35" i="3"/>
  <c r="AU36" i="3"/>
  <c r="AV37" i="3"/>
  <c r="AW38" i="3"/>
  <c r="AQ40" i="3"/>
  <c r="AV39" i="3"/>
  <c r="AS33" i="3"/>
  <c r="AT34" i="3"/>
  <c r="AU35" i="3"/>
  <c r="AV36" i="3"/>
  <c r="AW37" i="3"/>
  <c r="AQ39" i="3"/>
  <c r="AR40" i="3"/>
  <c r="AU38" i="3"/>
  <c r="AT33" i="3"/>
  <c r="AU34" i="3"/>
  <c r="AV35" i="3"/>
  <c r="AW36" i="3"/>
  <c r="AQ38" i="3"/>
  <c r="AR39" i="3"/>
  <c r="AS40" i="3"/>
  <c r="AS36" i="3"/>
  <c r="AU33" i="3"/>
  <c r="AV34" i="3"/>
  <c r="AW35" i="3"/>
  <c r="AQ37" i="3"/>
  <c r="AR38" i="3"/>
  <c r="AS39" i="3"/>
  <c r="AT40" i="3"/>
  <c r="AT37" i="3"/>
  <c r="AV33" i="3"/>
  <c r="AW34" i="3"/>
  <c r="AQ36" i="3"/>
  <c r="AR37" i="3"/>
  <c r="AS38" i="3"/>
  <c r="AT39" i="3"/>
  <c r="AU40" i="3"/>
  <c r="AR35" i="3"/>
  <c r="AW33" i="3"/>
  <c r="AQ35" i="3"/>
  <c r="AR36" i="3"/>
  <c r="AS37" i="3"/>
  <c r="AT38" i="3"/>
  <c r="AU39" i="3"/>
  <c r="AV40" i="3"/>
  <c r="AQ34" i="3"/>
  <c r="AQ32" i="3"/>
  <c r="AR32" i="3"/>
  <c r="AS32" i="3"/>
  <c r="AT32" i="3"/>
  <c r="AU32" i="3"/>
  <c r="AV32" i="3"/>
  <c r="AW32" i="3"/>
</calcChain>
</file>

<file path=xl/sharedStrings.xml><?xml version="1.0" encoding="utf-8"?>
<sst xmlns="http://schemas.openxmlformats.org/spreadsheetml/2006/main" count="677" uniqueCount="97">
  <si>
    <t>Caractères de référence</t>
  </si>
  <si>
    <r>
      <t xml:space="preserve">Cellule nommée </t>
    </r>
    <r>
      <rPr>
        <b/>
        <sz val="8"/>
        <rFont val="Calibri"/>
        <family val="2"/>
        <scheme val="minor"/>
      </rPr>
      <t>RefCharTotalCharNumber</t>
    </r>
  </si>
  <si>
    <t>M00</t>
  </si>
  <si>
    <t>M01</t>
  </si>
  <si>
    <t>M10</t>
  </si>
  <si>
    <t>Mpq</t>
  </si>
  <si>
    <t>Centroide X</t>
  </si>
  <si>
    <t>Centroide Y</t>
  </si>
  <si>
    <t>Valeur</t>
  </si>
  <si>
    <t>p</t>
  </si>
  <si>
    <t>q</t>
  </si>
  <si>
    <r>
      <t>U</t>
    </r>
    <r>
      <rPr>
        <sz val="8"/>
        <color theme="1"/>
        <rFont val="Calibri"/>
        <family val="2"/>
        <scheme val="minor"/>
      </rPr>
      <t>00</t>
    </r>
  </si>
  <si>
    <r>
      <t>U</t>
    </r>
    <r>
      <rPr>
        <sz val="8"/>
        <color theme="1"/>
        <rFont val="Calibri"/>
        <family val="2"/>
        <scheme val="minor"/>
      </rPr>
      <t>20</t>
    </r>
  </si>
  <si>
    <r>
      <t>U</t>
    </r>
    <r>
      <rPr>
        <sz val="8"/>
        <color theme="1"/>
        <rFont val="Calibri"/>
        <family val="2"/>
        <scheme val="minor"/>
      </rPr>
      <t>02</t>
    </r>
  </si>
  <si>
    <r>
      <t>U</t>
    </r>
    <r>
      <rPr>
        <sz val="8"/>
        <color theme="1"/>
        <rFont val="Calibri"/>
        <family val="2"/>
        <scheme val="minor"/>
      </rPr>
      <t>11</t>
    </r>
  </si>
  <si>
    <r>
      <t>U</t>
    </r>
    <r>
      <rPr>
        <sz val="8"/>
        <color theme="1"/>
        <rFont val="Calibri"/>
        <family val="2"/>
        <scheme val="minor"/>
      </rPr>
      <t>30</t>
    </r>
  </si>
  <si>
    <r>
      <t>U</t>
    </r>
    <r>
      <rPr>
        <sz val="8"/>
        <color theme="1"/>
        <rFont val="Calibri"/>
        <family val="2"/>
        <scheme val="minor"/>
      </rPr>
      <t>03</t>
    </r>
  </si>
  <si>
    <r>
      <t>U</t>
    </r>
    <r>
      <rPr>
        <sz val="8"/>
        <color theme="1"/>
        <rFont val="Calibri"/>
        <family val="2"/>
        <scheme val="minor"/>
      </rPr>
      <t>21</t>
    </r>
  </si>
  <si>
    <r>
      <t>U</t>
    </r>
    <r>
      <rPr>
        <sz val="8"/>
        <color theme="1"/>
        <rFont val="Calibri"/>
        <family val="2"/>
        <scheme val="minor"/>
      </rPr>
      <t>12</t>
    </r>
  </si>
  <si>
    <t>Centroides</t>
  </si>
  <si>
    <r>
      <t>N</t>
    </r>
    <r>
      <rPr>
        <sz val="8"/>
        <color theme="1"/>
        <rFont val="Calibri"/>
        <family val="2"/>
        <scheme val="minor"/>
      </rPr>
      <t>20</t>
    </r>
  </si>
  <si>
    <r>
      <t>N</t>
    </r>
    <r>
      <rPr>
        <sz val="8"/>
        <color theme="1"/>
        <rFont val="Calibri"/>
        <family val="2"/>
        <scheme val="minor"/>
      </rPr>
      <t>02</t>
    </r>
  </si>
  <si>
    <r>
      <t>N</t>
    </r>
    <r>
      <rPr>
        <sz val="8"/>
        <color theme="1"/>
        <rFont val="Calibri"/>
        <family val="2"/>
        <scheme val="minor"/>
      </rPr>
      <t>11</t>
    </r>
  </si>
  <si>
    <r>
      <t>N</t>
    </r>
    <r>
      <rPr>
        <sz val="8"/>
        <color theme="1"/>
        <rFont val="Calibri"/>
        <family val="2"/>
        <scheme val="minor"/>
      </rPr>
      <t>30</t>
    </r>
  </si>
  <si>
    <r>
      <t>N</t>
    </r>
    <r>
      <rPr>
        <sz val="8"/>
        <color theme="1"/>
        <rFont val="Calibri"/>
        <family val="2"/>
        <scheme val="minor"/>
      </rPr>
      <t>03</t>
    </r>
  </si>
  <si>
    <r>
      <t>N</t>
    </r>
    <r>
      <rPr>
        <sz val="8"/>
        <color theme="1"/>
        <rFont val="Calibri"/>
        <family val="2"/>
        <scheme val="minor"/>
      </rPr>
      <t>21</t>
    </r>
  </si>
  <si>
    <r>
      <t>N</t>
    </r>
    <r>
      <rPr>
        <sz val="8"/>
        <color theme="1"/>
        <rFont val="Calibri"/>
        <family val="2"/>
        <scheme val="minor"/>
      </rPr>
      <t>12</t>
    </r>
  </si>
  <si>
    <r>
      <t>U</t>
    </r>
    <r>
      <rPr>
        <sz val="10"/>
        <color theme="1"/>
        <rFont val="Calibri"/>
        <family val="2"/>
        <scheme val="minor"/>
      </rPr>
      <t>pq</t>
    </r>
  </si>
  <si>
    <r>
      <t>N</t>
    </r>
    <r>
      <rPr>
        <sz val="10"/>
        <color theme="1"/>
        <rFont val="Calibri"/>
        <family val="2"/>
        <scheme val="minor"/>
      </rPr>
      <t>pq</t>
    </r>
  </si>
  <si>
    <r>
      <t xml:space="preserve">Cellule nommée </t>
    </r>
    <r>
      <rPr>
        <b/>
        <sz val="8"/>
        <rFont val="Calibri"/>
        <family val="2"/>
        <scheme val="minor"/>
      </rPr>
      <t>StrToProcessTotalCharNumber</t>
    </r>
  </si>
  <si>
    <r>
      <t xml:space="preserve">Plage nommée </t>
    </r>
    <r>
      <rPr>
        <b/>
        <sz val="8"/>
        <rFont val="Calibri"/>
        <family val="2"/>
        <scheme val="minor"/>
      </rPr>
      <t>StrToProcessRange</t>
    </r>
  </si>
  <si>
    <r>
      <t xml:space="preserve">Plage nommée </t>
    </r>
    <r>
      <rPr>
        <b/>
        <sz val="8"/>
        <rFont val="Calibri"/>
        <family val="2"/>
        <scheme val="minor"/>
      </rPr>
      <t>StrToProcessCharNumber</t>
    </r>
  </si>
  <si>
    <r>
      <t xml:space="preserve">Plage nommée </t>
    </r>
    <r>
      <rPr>
        <b/>
        <sz val="8"/>
        <rFont val="Calibri"/>
        <family val="2"/>
        <scheme val="minor"/>
      </rPr>
      <t>RefCharNamedRangeRange</t>
    </r>
  </si>
  <si>
    <r>
      <t xml:space="preserve">Plage nommée </t>
    </r>
    <r>
      <rPr>
        <b/>
        <sz val="8"/>
        <rFont val="Calibri"/>
        <family val="2"/>
        <scheme val="minor"/>
      </rPr>
      <t>RefCharNamedRangeCharValue</t>
    </r>
  </si>
  <si>
    <r>
      <t xml:space="preserve">Plage nommée </t>
    </r>
    <r>
      <rPr>
        <b/>
        <sz val="8"/>
        <rFont val="Calibri"/>
        <family val="2"/>
        <scheme val="minor"/>
      </rPr>
      <t>RefCharCharNumber</t>
    </r>
  </si>
  <si>
    <t>$D$3</t>
  </si>
  <si>
    <t>$K$3</t>
  </si>
  <si>
    <t>$R$3</t>
  </si>
  <si>
    <t>$Y$3</t>
  </si>
  <si>
    <t>$AF$3</t>
  </si>
  <si>
    <t>$AM$3</t>
  </si>
  <si>
    <t>$AT$3</t>
  </si>
  <si>
    <t>$BA$3</t>
  </si>
  <si>
    <t>$BH$3</t>
  </si>
  <si>
    <t>$BO$3</t>
  </si>
  <si>
    <t>$BV$3</t>
  </si>
  <si>
    <t>$CC$3</t>
  </si>
  <si>
    <t>.</t>
  </si>
  <si>
    <t>#</t>
  </si>
  <si>
    <t>Centroide ValeurX</t>
  </si>
  <si>
    <t>Centroide ValeurY</t>
  </si>
  <si>
    <t>Copie des equations de la premiere feuille (Infos sur caracteres a reconnaitre)</t>
  </si>
  <si>
    <t>Reconnaissance des characteres</t>
  </si>
  <si>
    <t>d</t>
  </si>
  <si>
    <t>Matr1</t>
  </si>
  <si>
    <t>Matr2</t>
  </si>
  <si>
    <t>Matr3</t>
  </si>
  <si>
    <t>Matr4</t>
  </si>
  <si>
    <t>Matr5</t>
  </si>
  <si>
    <t>Matr6</t>
  </si>
  <si>
    <t>Matr7</t>
  </si>
  <si>
    <t>Matr8</t>
  </si>
  <si>
    <t>Matr9</t>
  </si>
  <si>
    <t>Matr10</t>
  </si>
  <si>
    <t>DistanceMin</t>
  </si>
  <si>
    <t>Refe1</t>
  </si>
  <si>
    <t>Refe2</t>
  </si>
  <si>
    <t>Refe3</t>
  </si>
  <si>
    <t>Refe4</t>
  </si>
  <si>
    <t>Refe5</t>
  </si>
  <si>
    <t>Refe6</t>
  </si>
  <si>
    <t>Refe7</t>
  </si>
  <si>
    <t>Refe8</t>
  </si>
  <si>
    <t>Refe9</t>
  </si>
  <si>
    <t>Refe10</t>
  </si>
  <si>
    <t>Refe11</t>
  </si>
  <si>
    <t>Refe12</t>
  </si>
  <si>
    <t>Indice de performance des characteres de reconnaissance</t>
  </si>
  <si>
    <t>X</t>
  </si>
  <si>
    <t>Référence 1</t>
  </si>
  <si>
    <t>Référence 2</t>
  </si>
  <si>
    <t>Référence 3</t>
  </si>
  <si>
    <t>Référence 4</t>
  </si>
  <si>
    <t>Référence 5</t>
  </si>
  <si>
    <t>Référence 6</t>
  </si>
  <si>
    <t>Référence 7</t>
  </si>
  <si>
    <t>Référence 8</t>
  </si>
  <si>
    <t>Référence 9</t>
  </si>
  <si>
    <t>Référence 10</t>
  </si>
  <si>
    <t>Référence 11</t>
  </si>
  <si>
    <t>Performance</t>
  </si>
  <si>
    <t>Référence 12</t>
  </si>
  <si>
    <t>Seuil Reconnaissance</t>
  </si>
  <si>
    <t>E</t>
  </si>
  <si>
    <t>Caractères sous 1</t>
  </si>
  <si>
    <t xml:space="preserve"> </t>
  </si>
  <si>
    <t>Caractères avec mauvaise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</si>
</sst>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right"/>
      <protection hidden="1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left"/>
      <protection hidden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1" xfId="0" applyFont="1" applyFill="1" applyBorder="1" applyProtection="1">
      <protection locked="0"/>
    </xf>
    <xf numFmtId="0" fontId="1" fillId="0" borderId="2" xfId="0" applyFont="1" applyFill="1" applyBorder="1" applyProtection="1">
      <protection locked="0"/>
    </xf>
    <xf numFmtId="0" fontId="1" fillId="0" borderId="3" xfId="0" applyFont="1" applyFill="1" applyBorder="1" applyProtection="1">
      <protection locked="0"/>
    </xf>
    <xf numFmtId="0" fontId="1" fillId="0" borderId="4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0" fontId="1" fillId="0" borderId="6" xfId="0" applyFont="1" applyFill="1" applyBorder="1" applyProtection="1">
      <protection locked="0"/>
    </xf>
    <xf numFmtId="0" fontId="1" fillId="0" borderId="7" xfId="0" applyFont="1" applyFill="1" applyBorder="1" applyProtection="1">
      <protection locked="0"/>
    </xf>
    <xf numFmtId="0" fontId="1" fillId="0" borderId="8" xfId="0" applyFont="1" applyFill="1" applyBorder="1" applyProtection="1">
      <protection locked="0"/>
    </xf>
    <xf numFmtId="0" fontId="0" fillId="0" borderId="12" xfId="0" applyBorder="1"/>
    <xf numFmtId="0" fontId="1" fillId="0" borderId="9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/>
      <protection hidden="1"/>
    </xf>
    <xf numFmtId="0" fontId="1" fillId="0" borderId="11" xfId="0" applyFont="1" applyFill="1" applyBorder="1" applyAlignment="1" applyProtection="1">
      <alignment horizontal="center"/>
      <protection hidden="1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16" xfId="0" applyFont="1" applyFill="1" applyBorder="1" applyAlignment="1" applyProtection="1">
      <alignment horizontal="center"/>
      <protection locked="0"/>
    </xf>
    <xf numFmtId="0" fontId="0" fillId="0" borderId="2" xfId="0" applyBorder="1"/>
    <xf numFmtId="0" fontId="1" fillId="0" borderId="17" xfId="0" applyFont="1" applyFill="1" applyBorder="1" applyAlignment="1" applyProtection="1">
      <alignment horizontal="center"/>
      <protection locked="0"/>
    </xf>
    <xf numFmtId="0" fontId="0" fillId="0" borderId="18" xfId="0" applyBorder="1"/>
    <xf numFmtId="0" fontId="0" fillId="0" borderId="19" xfId="0" applyBorder="1"/>
    <xf numFmtId="0" fontId="1" fillId="0" borderId="20" xfId="0" applyFont="1" applyFill="1" applyBorder="1" applyAlignment="1" applyProtection="1">
      <alignment horizontal="center"/>
      <protection locked="0"/>
    </xf>
    <xf numFmtId="0" fontId="0" fillId="0" borderId="10" xfId="0" applyBorder="1"/>
    <xf numFmtId="0" fontId="0" fillId="0" borderId="11" xfId="0" applyBorder="1"/>
    <xf numFmtId="0" fontId="6" fillId="0" borderId="9" xfId="0" applyFont="1" applyFill="1" applyBorder="1" applyAlignment="1" applyProtection="1">
      <alignment horizontal="center"/>
      <protection hidden="1"/>
    </xf>
    <xf numFmtId="0" fontId="0" fillId="0" borderId="16" xfId="0" applyBorder="1"/>
    <xf numFmtId="0" fontId="0" fillId="0" borderId="20" xfId="0" applyBorder="1"/>
    <xf numFmtId="0" fontId="0" fillId="0" borderId="17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0" xfId="0" applyFont="1" applyFill="1" applyBorder="1" applyAlignment="1" applyProtection="1">
      <protection hidden="1"/>
    </xf>
    <xf numFmtId="0" fontId="1" fillId="0" borderId="1" xfId="0" applyFont="1" applyFill="1" applyBorder="1" applyProtection="1">
      <protection hidden="1"/>
    </xf>
    <xf numFmtId="0" fontId="1" fillId="0" borderId="2" xfId="0" applyFont="1" applyFill="1" applyBorder="1" applyProtection="1">
      <protection hidden="1"/>
    </xf>
    <xf numFmtId="0" fontId="1" fillId="0" borderId="4" xfId="0" applyFont="1" applyFill="1" applyBorder="1" applyProtection="1">
      <protection hidden="1"/>
    </xf>
    <xf numFmtId="0" fontId="1" fillId="0" borderId="33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11" xfId="0" applyFont="1" applyFill="1" applyBorder="1" applyAlignment="1" applyProtection="1">
      <alignment horizontal="center"/>
      <protection hidden="1"/>
    </xf>
    <xf numFmtId="0" fontId="5" fillId="0" borderId="34" xfId="0" applyFont="1" applyFill="1" applyBorder="1" applyAlignment="1" applyProtection="1">
      <alignment horizontal="center"/>
      <protection hidden="1"/>
    </xf>
    <xf numFmtId="0" fontId="5" fillId="0" borderId="4" xfId="0" applyFont="1" applyFill="1" applyBorder="1" applyAlignment="1" applyProtection="1">
      <alignment horizontal="center"/>
      <protection hidden="1"/>
    </xf>
    <xf numFmtId="0" fontId="5" fillId="0" borderId="6" xfId="0" applyFont="1" applyFill="1" applyBorder="1" applyAlignment="1" applyProtection="1">
      <alignment horizontal="center"/>
      <protection hidden="1"/>
    </xf>
    <xf numFmtId="0" fontId="5" fillId="0" borderId="7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33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4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0" xfId="0" applyFont="1" applyFill="1" applyBorder="1" applyAlignment="1"/>
    <xf numFmtId="0" fontId="1" fillId="0" borderId="0" xfId="0" applyFont="1" applyFill="1" applyBorder="1" applyAlignment="1" applyProtection="1">
      <alignment horizontal="right" vertical="center"/>
      <protection hidden="1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6" xfId="0" applyFont="1" applyFill="1" applyBorder="1" applyAlignment="1" applyProtection="1">
      <alignment horizontal="center" vertical="center"/>
      <protection locked="0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0" fillId="0" borderId="35" xfId="0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/>
    <xf numFmtId="0" fontId="0" fillId="0" borderId="3" xfId="0" applyBorder="1"/>
    <xf numFmtId="0" fontId="0" fillId="0" borderId="5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7" xfId="0" applyBorder="1"/>
    <xf numFmtId="0" fontId="0" fillId="0" borderId="28" xfId="0" applyBorder="1"/>
    <xf numFmtId="0" fontId="0" fillId="0" borderId="21" xfId="0" applyBorder="1"/>
    <xf numFmtId="0" fontId="0" fillId="0" borderId="29" xfId="0" applyBorder="1"/>
    <xf numFmtId="0" fontId="0" fillId="0" borderId="32" xfId="0" applyBorder="1"/>
    <xf numFmtId="0" fontId="0" fillId="0" borderId="23" xfId="0" applyBorder="1"/>
    <xf numFmtId="0" fontId="0" fillId="0" borderId="30" xfId="0" applyBorder="1"/>
    <xf numFmtId="0" fontId="0" fillId="0" borderId="24" xfId="0" applyBorder="1"/>
    <xf numFmtId="0" fontId="0" fillId="0" borderId="22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1" xfId="0" applyBorder="1" applyAlignment="1"/>
    <xf numFmtId="0" fontId="0" fillId="0" borderId="29" xfId="0" applyBorder="1" applyAlignment="1"/>
    <xf numFmtId="0" fontId="0" fillId="0" borderId="23" xfId="0" applyBorder="1" applyAlignment="1"/>
    <xf numFmtId="0" fontId="0" fillId="0" borderId="30" xfId="0" applyBorder="1" applyAlignment="1"/>
    <xf numFmtId="0" fontId="0" fillId="0" borderId="27" xfId="0" applyBorder="1" applyAlignment="1"/>
    <xf numFmtId="0" fontId="0" fillId="0" borderId="32" xfId="0" applyBorder="1" applyAlignment="1"/>
    <xf numFmtId="0" fontId="0" fillId="0" borderId="22" xfId="0" applyBorder="1" applyAlignment="1"/>
    <xf numFmtId="0" fontId="0" fillId="0" borderId="24" xfId="0" applyBorder="1" applyAlignment="1"/>
    <xf numFmtId="0" fontId="0" fillId="0" borderId="28" xfId="0" applyBorder="1" applyAlignment="1"/>
    <xf numFmtId="0" fontId="0" fillId="0" borderId="25" xfId="0" applyBorder="1"/>
    <xf numFmtId="0" fontId="0" fillId="0" borderId="26" xfId="0" applyBorder="1"/>
    <xf numFmtId="0" fontId="0" fillId="0" borderId="0" xfId="0"/>
    <xf numFmtId="0" fontId="0" fillId="0" borderId="45" xfId="0" applyBorder="1" applyAlignment="1"/>
    <xf numFmtId="0" fontId="0" fillId="0" borderId="41" xfId="0" applyBorder="1" applyAlignment="1"/>
    <xf numFmtId="0" fontId="0" fillId="0" borderId="47" xfId="0" applyBorder="1" applyAlignment="1"/>
    <xf numFmtId="0" fontId="0" fillId="0" borderId="48" xfId="0" applyBorder="1" applyAlignment="1"/>
    <xf numFmtId="0" fontId="0" fillId="0" borderId="41" xfId="0" applyBorder="1"/>
    <xf numFmtId="0" fontId="0" fillId="0" borderId="46" xfId="0" applyBorder="1"/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1" xfId="0" applyBorder="1"/>
    <xf numFmtId="0" fontId="0" fillId="0" borderId="2" xfId="0" applyBorder="1"/>
    <xf numFmtId="0" fontId="0" fillId="0" borderId="50" xfId="0" applyBorder="1"/>
    <xf numFmtId="0" fontId="0" fillId="0" borderId="60" xfId="0" applyBorder="1"/>
    <xf numFmtId="0" fontId="0" fillId="0" borderId="52" xfId="0" applyBorder="1"/>
    <xf numFmtId="0" fontId="0" fillId="0" borderId="61" xfId="0" applyBorder="1"/>
    <xf numFmtId="0" fontId="0" fillId="0" borderId="34" xfId="0" applyBorder="1"/>
    <xf numFmtId="0" fontId="0" fillId="0" borderId="15" xfId="0" applyBorder="1"/>
    <xf numFmtId="0" fontId="0" fillId="0" borderId="39" xfId="0" applyBorder="1"/>
    <xf numFmtId="0" fontId="0" fillId="0" borderId="6" xfId="0" applyBorder="1"/>
    <xf numFmtId="0" fontId="0" fillId="0" borderId="7" xfId="0" applyBorder="1"/>
    <xf numFmtId="0" fontId="0" fillId="0" borderId="59" xfId="0" applyBorder="1"/>
    <xf numFmtId="0" fontId="0" fillId="0" borderId="4" xfId="0" applyBorder="1"/>
    <xf numFmtId="0" fontId="0" fillId="0" borderId="0" xfId="0" applyBorder="1"/>
    <xf numFmtId="0" fontId="0" fillId="0" borderId="40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62" xfId="0" applyBorder="1" applyAlignment="1">
      <alignment horizontal="center"/>
    </xf>
    <xf numFmtId="0" fontId="6" fillId="0" borderId="38" xfId="0" applyFont="1" applyFill="1" applyBorder="1" applyAlignment="1" applyProtection="1">
      <alignment horizontal="center"/>
      <protection hidden="1"/>
    </xf>
    <xf numFmtId="0" fontId="6" fillId="0" borderId="12" xfId="0" applyFont="1" applyFill="1" applyBorder="1" applyAlignment="1" applyProtection="1">
      <alignment horizontal="center"/>
      <protection hidden="1"/>
    </xf>
    <xf numFmtId="0" fontId="0" fillId="0" borderId="31" xfId="0" applyBorder="1"/>
    <xf numFmtId="0" fontId="0" fillId="0" borderId="36" xfId="0" applyBorder="1"/>
    <xf numFmtId="0" fontId="0" fillId="0" borderId="37" xfId="0" applyBorder="1"/>
    <xf numFmtId="0" fontId="1" fillId="0" borderId="0" xfId="0" applyFont="1" applyFill="1" applyBorder="1" applyAlignment="1">
      <alignment horizontal="center"/>
    </xf>
    <xf numFmtId="0" fontId="0" fillId="0" borderId="25" xfId="0" applyBorder="1" applyAlignment="1"/>
    <xf numFmtId="0" fontId="0" fillId="0" borderId="26" xfId="0" applyBorder="1" applyAlignment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1" xfId="0" applyBorder="1" applyAlignme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/>
    </xf>
  </cellXfs>
  <cellStyles count="1">
    <cellStyle name="Normal" xfId="0" builtinId="0"/>
  </cellStyles>
  <dxfs count="8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</xdr:row>
          <xdr:rowOff>180975</xdr:rowOff>
        </xdr:from>
        <xdr:to>
          <xdr:col>0</xdr:col>
          <xdr:colOff>1352550</xdr:colOff>
          <xdr:row>5</xdr:row>
          <xdr:rowOff>76200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57150</xdr:rowOff>
        </xdr:from>
        <xdr:to>
          <xdr:col>1</xdr:col>
          <xdr:colOff>47625</xdr:colOff>
          <xdr:row>11</xdr:row>
          <xdr:rowOff>266700</xdr:rowOff>
        </xdr:to>
        <xdr:sp macro="" textlink="">
          <xdr:nvSpPr>
            <xdr:cNvPr id="1030" name="CommandButton2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</xdr:row>
          <xdr:rowOff>152400</xdr:rowOff>
        </xdr:from>
        <xdr:to>
          <xdr:col>1</xdr:col>
          <xdr:colOff>28575</xdr:colOff>
          <xdr:row>9</xdr:row>
          <xdr:rowOff>0</xdr:rowOff>
        </xdr:to>
        <xdr:sp macro="" textlink="">
          <xdr:nvSpPr>
            <xdr:cNvPr id="1031" name="CommandButton2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112058</xdr:colOff>
      <xdr:row>59</xdr:row>
      <xdr:rowOff>67234</xdr:rowOff>
    </xdr:from>
    <xdr:to>
      <xdr:col>3</xdr:col>
      <xdr:colOff>145676</xdr:colOff>
      <xdr:row>67</xdr:row>
      <xdr:rowOff>145675</xdr:rowOff>
    </xdr:to>
    <xdr:sp macro="" textlink="">
      <xdr:nvSpPr>
        <xdr:cNvPr id="3" name="TextBox 2"/>
        <xdr:cNvSpPr txBox="1"/>
      </xdr:nvSpPr>
      <xdr:spPr>
        <a:xfrm>
          <a:off x="112058" y="7171763"/>
          <a:ext cx="1557618" cy="160244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1600"/>
            <a:t>Voici les caractères ayant un mauvais indice de performance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4</xdr:col>
          <xdr:colOff>9525</xdr:colOff>
          <xdr:row>5</xdr:row>
          <xdr:rowOff>85725</xdr:rowOff>
        </xdr:to>
        <xdr:sp macro="" textlink="">
          <xdr:nvSpPr>
            <xdr:cNvPr id="2049" name="CommandButton2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314325</xdr:rowOff>
        </xdr:from>
        <xdr:to>
          <xdr:col>4</xdr:col>
          <xdr:colOff>9525</xdr:colOff>
          <xdr:row>8</xdr:row>
          <xdr:rowOff>85725</xdr:rowOff>
        </xdr:to>
        <xdr:sp macro="" textlink="">
          <xdr:nvSpPr>
            <xdr:cNvPr id="2050" name="CommandButton2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4</xdr:col>
          <xdr:colOff>0</xdr:colOff>
          <xdr:row>11</xdr:row>
          <xdr:rowOff>66675</xdr:rowOff>
        </xdr:to>
        <xdr:sp macro="" textlink="">
          <xdr:nvSpPr>
            <xdr:cNvPr id="2051" name="CommandButton2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149679</xdr:colOff>
      <xdr:row>44</xdr:row>
      <xdr:rowOff>0</xdr:rowOff>
    </xdr:from>
    <xdr:ext cx="1714500" cy="1219565"/>
    <xdr:sp macro="" textlink="">
      <xdr:nvSpPr>
        <xdr:cNvPr id="2" name="TextBox 1"/>
        <xdr:cNvSpPr txBox="1"/>
      </xdr:nvSpPr>
      <xdr:spPr>
        <a:xfrm>
          <a:off x="149679" y="4218214"/>
          <a:ext cx="1714500" cy="12195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CA" sz="1800"/>
            <a:t>Indice de performance des caractères de référence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-1</xdr:rowOff>
        </xdr:from>
        <xdr:to>
          <xdr:col>85</xdr:col>
          <xdr:colOff>9526</xdr:colOff>
          <xdr:row>17</xdr:row>
          <xdr:rowOff>0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Sheet1!$C$4:$BV$13" spid="_x0000_s30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51857" y="1387928"/>
              <a:ext cx="22542954" cy="31391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63954</xdr:colOff>
          <xdr:row>3</xdr:row>
          <xdr:rowOff>13607</xdr:rowOff>
        </xdr:from>
        <xdr:to>
          <xdr:col>52</xdr:col>
          <xdr:colOff>140154</xdr:colOff>
          <xdr:row>6</xdr:row>
          <xdr:rowOff>0</xdr:rowOff>
        </xdr:to>
        <xdr:sp macro="" textlink="">
          <xdr:nvSpPr>
            <xdr:cNvPr id="3076" name="ScrollBar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299358</xdr:colOff>
      <xdr:row>3</xdr:row>
      <xdr:rowOff>27217</xdr:rowOff>
    </xdr:from>
    <xdr:to>
      <xdr:col>37</xdr:col>
      <xdr:colOff>190501</xdr:colOff>
      <xdr:row>6</xdr:row>
      <xdr:rowOff>27215</xdr:rowOff>
    </xdr:to>
    <xdr:sp macro="" textlink="">
      <xdr:nvSpPr>
        <xdr:cNvPr id="3" name="TextBox 2"/>
        <xdr:cNvSpPr txBox="1"/>
      </xdr:nvSpPr>
      <xdr:spPr>
        <a:xfrm>
          <a:off x="5306787" y="408217"/>
          <a:ext cx="3646714" cy="6939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2800"/>
            <a:t>Seuil de reconnaissance</a:t>
          </a:r>
        </a:p>
        <a:p>
          <a:endParaRPr lang="fr-CA" sz="1100"/>
        </a:p>
      </xdr:txBody>
    </xdr:sp>
    <xdr:clientData/>
  </xdr:twoCellAnchor>
  <xdr:twoCellAnchor>
    <xdr:from>
      <xdr:col>1</xdr:col>
      <xdr:colOff>149679</xdr:colOff>
      <xdr:row>7</xdr:row>
      <xdr:rowOff>258535</xdr:rowOff>
    </xdr:from>
    <xdr:to>
      <xdr:col>12</xdr:col>
      <xdr:colOff>149679</xdr:colOff>
      <xdr:row>9</xdr:row>
      <xdr:rowOff>231322</xdr:rowOff>
    </xdr:to>
    <xdr:sp macro="" textlink="">
      <xdr:nvSpPr>
        <xdr:cNvPr id="4" name="TextBox 3"/>
        <xdr:cNvSpPr txBox="1"/>
      </xdr:nvSpPr>
      <xdr:spPr>
        <a:xfrm>
          <a:off x="462643" y="1455964"/>
          <a:ext cx="3442607" cy="598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2800"/>
            <a:t>Phrase à</a:t>
          </a:r>
          <a:r>
            <a:rPr lang="fr-CA" sz="2800" baseline="0"/>
            <a:t> reconnaitre</a:t>
          </a:r>
        </a:p>
        <a:p>
          <a:endParaRPr lang="fr-CA" sz="1100"/>
        </a:p>
      </xdr:txBody>
    </xdr:sp>
    <xdr:clientData/>
  </xdr:twoCellAnchor>
  <xdr:twoCellAnchor>
    <xdr:from>
      <xdr:col>2</xdr:col>
      <xdr:colOff>244928</xdr:colOff>
      <xdr:row>30</xdr:row>
      <xdr:rowOff>217715</xdr:rowOff>
    </xdr:from>
    <xdr:to>
      <xdr:col>12</xdr:col>
      <xdr:colOff>95249</xdr:colOff>
      <xdr:row>32</xdr:row>
      <xdr:rowOff>285751</xdr:rowOff>
    </xdr:to>
    <xdr:sp macro="" textlink="">
      <xdr:nvSpPr>
        <xdr:cNvPr id="5" name="TextBox 4"/>
        <xdr:cNvSpPr txBox="1"/>
      </xdr:nvSpPr>
      <xdr:spPr>
        <a:xfrm>
          <a:off x="1469571" y="4925786"/>
          <a:ext cx="4177392" cy="6939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3200"/>
            <a:t>Caractères</a:t>
          </a:r>
          <a:r>
            <a:rPr lang="fr-CA" sz="3200" baseline="0"/>
            <a:t> reconnus</a:t>
          </a:r>
          <a:endParaRPr lang="fr-CA" sz="3200"/>
        </a:p>
      </xdr:txBody>
    </xdr:sp>
    <xdr:clientData/>
  </xdr:twoCellAnchor>
  <xdr:twoCellAnchor>
    <xdr:from>
      <xdr:col>2</xdr:col>
      <xdr:colOff>217714</xdr:colOff>
      <xdr:row>42</xdr:row>
      <xdr:rowOff>95250</xdr:rowOff>
    </xdr:from>
    <xdr:to>
      <xdr:col>12</xdr:col>
      <xdr:colOff>68035</xdr:colOff>
      <xdr:row>46</xdr:row>
      <xdr:rowOff>27215</xdr:rowOff>
    </xdr:to>
    <xdr:sp macro="" textlink="">
      <xdr:nvSpPr>
        <xdr:cNvPr id="8" name="TextBox 7"/>
        <xdr:cNvSpPr txBox="1"/>
      </xdr:nvSpPr>
      <xdr:spPr>
        <a:xfrm>
          <a:off x="1442357" y="8313964"/>
          <a:ext cx="4177392" cy="6939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A" sz="3200"/>
            <a:t>Phrase reconnue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V84"/>
  <sheetViews>
    <sheetView zoomScale="55" zoomScaleNormal="55" workbookViewId="0">
      <selection activeCell="U85" sqref="U85"/>
    </sheetView>
  </sheetViews>
  <sheetFormatPr defaultColWidth="9.140625" defaultRowHeight="20.100000000000001" customHeight="1" x14ac:dyDescent="0.25"/>
  <cols>
    <col min="1" max="1" width="21.140625" customWidth="1"/>
    <col min="2" max="76" width="4.7109375" customWidth="1"/>
  </cols>
  <sheetData>
    <row r="4" spans="2:74" ht="24.95" customHeight="1" x14ac:dyDescent="0.25">
      <c r="C4" s="1"/>
      <c r="D4" s="1">
        <v>1</v>
      </c>
      <c r="E4" s="1">
        <v>2</v>
      </c>
      <c r="F4" s="1">
        <v>3</v>
      </c>
      <c r="G4" s="1">
        <v>4</v>
      </c>
      <c r="H4" s="1">
        <v>5</v>
      </c>
      <c r="I4" s="1">
        <v>6</v>
      </c>
      <c r="J4" s="1">
        <v>7</v>
      </c>
      <c r="K4" s="1">
        <v>1</v>
      </c>
      <c r="L4" s="1">
        <v>2</v>
      </c>
      <c r="M4" s="1">
        <v>3</v>
      </c>
      <c r="N4" s="1">
        <v>4</v>
      </c>
      <c r="O4" s="1">
        <v>5</v>
      </c>
      <c r="P4" s="1">
        <v>6</v>
      </c>
      <c r="Q4" s="1">
        <v>7</v>
      </c>
      <c r="R4" s="1">
        <v>1</v>
      </c>
      <c r="S4" s="1">
        <v>2</v>
      </c>
      <c r="T4" s="1">
        <v>3</v>
      </c>
      <c r="U4" s="1">
        <v>4</v>
      </c>
      <c r="V4" s="1">
        <v>5</v>
      </c>
      <c r="W4" s="1">
        <v>6</v>
      </c>
      <c r="X4" s="1">
        <v>7</v>
      </c>
      <c r="Y4" s="1">
        <v>1</v>
      </c>
      <c r="Z4" s="1">
        <v>2</v>
      </c>
      <c r="AA4" s="1">
        <v>3</v>
      </c>
      <c r="AB4" s="1">
        <v>4</v>
      </c>
      <c r="AC4" s="1">
        <v>5</v>
      </c>
      <c r="AD4" s="1">
        <v>6</v>
      </c>
      <c r="AE4" s="1">
        <v>7</v>
      </c>
      <c r="AF4" s="1">
        <v>1</v>
      </c>
      <c r="AG4" s="1">
        <v>2</v>
      </c>
      <c r="AH4" s="1">
        <v>3</v>
      </c>
      <c r="AI4" s="1">
        <v>4</v>
      </c>
      <c r="AJ4" s="1">
        <v>5</v>
      </c>
      <c r="AK4" s="1">
        <v>6</v>
      </c>
      <c r="AL4" s="1">
        <v>7</v>
      </c>
      <c r="AM4" s="1">
        <v>1</v>
      </c>
      <c r="AN4" s="1">
        <v>2</v>
      </c>
      <c r="AO4" s="1">
        <v>3</v>
      </c>
      <c r="AP4" s="1">
        <v>4</v>
      </c>
      <c r="AQ4" s="1">
        <v>5</v>
      </c>
      <c r="AR4" s="1">
        <v>6</v>
      </c>
      <c r="AS4" s="1">
        <v>7</v>
      </c>
      <c r="AT4" s="1">
        <v>1</v>
      </c>
      <c r="AU4" s="1">
        <v>2</v>
      </c>
      <c r="AV4" s="1">
        <v>3</v>
      </c>
      <c r="AW4" s="1">
        <v>4</v>
      </c>
      <c r="AX4" s="1">
        <v>5</v>
      </c>
      <c r="AY4" s="1">
        <v>6</v>
      </c>
      <c r="AZ4" s="1">
        <v>7</v>
      </c>
      <c r="BA4" s="1">
        <v>1</v>
      </c>
      <c r="BB4" s="1">
        <v>2</v>
      </c>
      <c r="BC4" s="1">
        <v>3</v>
      </c>
      <c r="BD4" s="1">
        <v>4</v>
      </c>
      <c r="BE4" s="1">
        <v>5</v>
      </c>
      <c r="BF4" s="1">
        <v>6</v>
      </c>
      <c r="BG4" s="1">
        <v>7</v>
      </c>
      <c r="BH4" s="1">
        <v>1</v>
      </c>
      <c r="BI4" s="1">
        <v>2</v>
      </c>
      <c r="BJ4" s="1">
        <v>3</v>
      </c>
      <c r="BK4" s="1">
        <v>4</v>
      </c>
      <c r="BL4" s="1">
        <v>5</v>
      </c>
      <c r="BM4" s="1">
        <v>6</v>
      </c>
      <c r="BN4" s="1">
        <v>7</v>
      </c>
      <c r="BO4" s="1">
        <v>1</v>
      </c>
      <c r="BP4" s="1">
        <v>2</v>
      </c>
      <c r="BQ4" s="1">
        <v>3</v>
      </c>
      <c r="BR4" s="1">
        <v>4</v>
      </c>
      <c r="BS4" s="1">
        <v>5</v>
      </c>
      <c r="BT4" s="1">
        <v>6</v>
      </c>
      <c r="BU4" s="1">
        <v>7</v>
      </c>
      <c r="BV4" s="2"/>
    </row>
    <row r="5" spans="2:74" ht="24.95" customHeight="1" x14ac:dyDescent="0.25">
      <c r="C5" s="69">
        <v>1</v>
      </c>
      <c r="D5" s="70">
        <v>1</v>
      </c>
      <c r="E5" s="71">
        <v>0</v>
      </c>
      <c r="F5" s="71">
        <v>0</v>
      </c>
      <c r="G5" s="71">
        <v>0</v>
      </c>
      <c r="H5" s="71">
        <v>1</v>
      </c>
      <c r="I5" s="71">
        <v>0</v>
      </c>
      <c r="J5" s="72">
        <v>0</v>
      </c>
      <c r="K5" s="70">
        <v>0</v>
      </c>
      <c r="L5" s="71">
        <v>0</v>
      </c>
      <c r="M5" s="71">
        <v>0</v>
      </c>
      <c r="N5" s="71">
        <v>1</v>
      </c>
      <c r="O5" s="71">
        <v>1</v>
      </c>
      <c r="P5" s="71">
        <v>1</v>
      </c>
      <c r="Q5" s="72">
        <v>0</v>
      </c>
      <c r="R5" s="70">
        <v>0</v>
      </c>
      <c r="S5" s="71">
        <v>0</v>
      </c>
      <c r="T5" s="71">
        <v>1</v>
      </c>
      <c r="U5" s="71">
        <v>1</v>
      </c>
      <c r="V5" s="71">
        <v>0</v>
      </c>
      <c r="W5" s="71">
        <v>0</v>
      </c>
      <c r="X5" s="72">
        <v>0</v>
      </c>
      <c r="Y5" s="70">
        <v>0</v>
      </c>
      <c r="Z5" s="71">
        <v>1</v>
      </c>
      <c r="AA5" s="71">
        <v>1</v>
      </c>
      <c r="AB5" s="71">
        <v>1</v>
      </c>
      <c r="AC5" s="71">
        <v>0</v>
      </c>
      <c r="AD5" s="71">
        <v>0</v>
      </c>
      <c r="AE5" s="72">
        <v>0</v>
      </c>
      <c r="AF5" s="70">
        <v>1</v>
      </c>
      <c r="AG5" s="71">
        <v>1</v>
      </c>
      <c r="AH5" s="71">
        <v>1</v>
      </c>
      <c r="AI5" s="71">
        <v>1</v>
      </c>
      <c r="AJ5" s="71">
        <v>1</v>
      </c>
      <c r="AK5" s="71">
        <v>0</v>
      </c>
      <c r="AL5" s="72">
        <v>0</v>
      </c>
      <c r="AM5" s="70">
        <v>0</v>
      </c>
      <c r="AN5" s="71">
        <v>1</v>
      </c>
      <c r="AO5" s="71">
        <v>1</v>
      </c>
      <c r="AP5" s="71">
        <v>1</v>
      </c>
      <c r="AQ5" s="71">
        <v>0</v>
      </c>
      <c r="AR5" s="71">
        <v>0</v>
      </c>
      <c r="AS5" s="72">
        <v>0</v>
      </c>
      <c r="AT5" s="70">
        <v>0</v>
      </c>
      <c r="AU5" s="71">
        <v>0</v>
      </c>
      <c r="AV5" s="71">
        <v>1</v>
      </c>
      <c r="AW5" s="71">
        <v>1</v>
      </c>
      <c r="AX5" s="71">
        <v>1</v>
      </c>
      <c r="AY5" s="71">
        <v>0</v>
      </c>
      <c r="AZ5" s="72">
        <v>0</v>
      </c>
      <c r="BA5" s="70">
        <v>0</v>
      </c>
      <c r="BB5" s="71">
        <v>0</v>
      </c>
      <c r="BC5" s="71">
        <v>0</v>
      </c>
      <c r="BD5" s="71">
        <v>1</v>
      </c>
      <c r="BE5" s="71">
        <v>1</v>
      </c>
      <c r="BF5" s="71">
        <v>1</v>
      </c>
      <c r="BG5" s="72">
        <v>0</v>
      </c>
      <c r="BH5" s="70">
        <v>0</v>
      </c>
      <c r="BI5" s="71">
        <v>1</v>
      </c>
      <c r="BJ5" s="71">
        <v>0</v>
      </c>
      <c r="BK5" s="71">
        <v>0</v>
      </c>
      <c r="BL5" s="71">
        <v>0</v>
      </c>
      <c r="BM5" s="71">
        <v>0</v>
      </c>
      <c r="BN5" s="72">
        <v>0</v>
      </c>
      <c r="BO5" s="70">
        <v>0</v>
      </c>
      <c r="BP5" s="71">
        <v>0</v>
      </c>
      <c r="BQ5" s="71">
        <v>1</v>
      </c>
      <c r="BR5" s="71">
        <v>1</v>
      </c>
      <c r="BS5" s="71">
        <v>1</v>
      </c>
      <c r="BT5" s="71">
        <v>0</v>
      </c>
      <c r="BU5" s="72">
        <v>0</v>
      </c>
      <c r="BV5" s="73">
        <v>1</v>
      </c>
    </row>
    <row r="6" spans="2:74" ht="24.95" customHeight="1" x14ac:dyDescent="0.25">
      <c r="C6" s="69">
        <v>2</v>
      </c>
      <c r="D6" s="74">
        <v>1</v>
      </c>
      <c r="E6" s="75">
        <v>0</v>
      </c>
      <c r="F6" s="75">
        <v>0</v>
      </c>
      <c r="G6" s="75">
        <v>0</v>
      </c>
      <c r="H6" s="75">
        <v>1</v>
      </c>
      <c r="I6" s="75">
        <v>0</v>
      </c>
      <c r="J6" s="76">
        <v>0</v>
      </c>
      <c r="K6" s="74">
        <v>0</v>
      </c>
      <c r="L6" s="75">
        <v>0</v>
      </c>
      <c r="M6" s="75">
        <v>0</v>
      </c>
      <c r="N6" s="75">
        <v>0</v>
      </c>
      <c r="O6" s="75">
        <v>0</v>
      </c>
      <c r="P6" s="75">
        <v>0</v>
      </c>
      <c r="Q6" s="76">
        <v>1</v>
      </c>
      <c r="R6" s="74">
        <v>0</v>
      </c>
      <c r="S6" s="75">
        <v>0</v>
      </c>
      <c r="T6" s="75">
        <v>0</v>
      </c>
      <c r="U6" s="75">
        <v>0</v>
      </c>
      <c r="V6" s="75">
        <v>1</v>
      </c>
      <c r="W6" s="75">
        <v>0</v>
      </c>
      <c r="X6" s="76">
        <v>0</v>
      </c>
      <c r="Y6" s="74">
        <v>1</v>
      </c>
      <c r="Z6" s="75">
        <v>0</v>
      </c>
      <c r="AA6" s="75">
        <v>0</v>
      </c>
      <c r="AB6" s="75">
        <v>0</v>
      </c>
      <c r="AC6" s="75">
        <v>1</v>
      </c>
      <c r="AD6" s="75">
        <v>0</v>
      </c>
      <c r="AE6" s="76">
        <v>0</v>
      </c>
      <c r="AF6" s="74">
        <v>1</v>
      </c>
      <c r="AG6" s="75">
        <v>0</v>
      </c>
      <c r="AH6" s="75">
        <v>0</v>
      </c>
      <c r="AI6" s="75">
        <v>0</v>
      </c>
      <c r="AJ6" s="75">
        <v>1</v>
      </c>
      <c r="AK6" s="75">
        <v>0</v>
      </c>
      <c r="AL6" s="76">
        <v>0</v>
      </c>
      <c r="AM6" s="74">
        <v>0</v>
      </c>
      <c r="AN6" s="75">
        <v>1</v>
      </c>
      <c r="AO6" s="75">
        <v>0</v>
      </c>
      <c r="AP6" s="75">
        <v>0</v>
      </c>
      <c r="AQ6" s="75">
        <v>1</v>
      </c>
      <c r="AR6" s="75">
        <v>0</v>
      </c>
      <c r="AS6" s="76">
        <v>0</v>
      </c>
      <c r="AT6" s="74">
        <v>0</v>
      </c>
      <c r="AU6" s="75">
        <v>1</v>
      </c>
      <c r="AV6" s="75">
        <v>0</v>
      </c>
      <c r="AW6" s="75">
        <v>0</v>
      </c>
      <c r="AX6" s="75">
        <v>0</v>
      </c>
      <c r="AY6" s="75">
        <v>0</v>
      </c>
      <c r="AZ6" s="76">
        <v>0</v>
      </c>
      <c r="BA6" s="74">
        <v>0</v>
      </c>
      <c r="BB6" s="75">
        <v>0</v>
      </c>
      <c r="BC6" s="75">
        <v>1</v>
      </c>
      <c r="BD6" s="75">
        <v>0</v>
      </c>
      <c r="BE6" s="75">
        <v>0</v>
      </c>
      <c r="BF6" s="75">
        <v>0</v>
      </c>
      <c r="BG6" s="76">
        <v>0</v>
      </c>
      <c r="BH6" s="74">
        <v>0</v>
      </c>
      <c r="BI6" s="75">
        <v>1</v>
      </c>
      <c r="BJ6" s="75">
        <v>0</v>
      </c>
      <c r="BK6" s="75">
        <v>0</v>
      </c>
      <c r="BL6" s="75">
        <v>0</v>
      </c>
      <c r="BM6" s="75">
        <v>0</v>
      </c>
      <c r="BN6" s="76">
        <v>0</v>
      </c>
      <c r="BO6" s="74">
        <v>0</v>
      </c>
      <c r="BP6" s="75">
        <v>1</v>
      </c>
      <c r="BQ6" s="75">
        <v>0</v>
      </c>
      <c r="BR6" s="75">
        <v>0</v>
      </c>
      <c r="BS6" s="75">
        <v>0</v>
      </c>
      <c r="BT6" s="75">
        <v>0</v>
      </c>
      <c r="BU6" s="76">
        <v>0</v>
      </c>
      <c r="BV6" s="73">
        <v>2</v>
      </c>
    </row>
    <row r="7" spans="2:74" ht="24.95" customHeight="1" x14ac:dyDescent="0.25">
      <c r="C7" s="69">
        <v>3</v>
      </c>
      <c r="D7" s="74">
        <v>1</v>
      </c>
      <c r="E7" s="75">
        <v>0</v>
      </c>
      <c r="F7" s="75">
        <v>0</v>
      </c>
      <c r="G7" s="75">
        <v>0</v>
      </c>
      <c r="H7" s="75">
        <v>1</v>
      </c>
      <c r="I7" s="75">
        <v>0</v>
      </c>
      <c r="J7" s="76">
        <v>0</v>
      </c>
      <c r="K7" s="74">
        <v>0</v>
      </c>
      <c r="L7" s="75">
        <v>0</v>
      </c>
      <c r="M7" s="75">
        <v>0</v>
      </c>
      <c r="N7" s="75">
        <v>0</v>
      </c>
      <c r="O7" s="75">
        <v>0</v>
      </c>
      <c r="P7" s="75">
        <v>0</v>
      </c>
      <c r="Q7" s="76">
        <v>1</v>
      </c>
      <c r="R7" s="74">
        <v>0</v>
      </c>
      <c r="S7" s="75">
        <v>0</v>
      </c>
      <c r="T7" s="75">
        <v>0</v>
      </c>
      <c r="U7" s="75">
        <v>0</v>
      </c>
      <c r="V7" s="75">
        <v>1</v>
      </c>
      <c r="W7" s="75">
        <v>0</v>
      </c>
      <c r="X7" s="76">
        <v>0</v>
      </c>
      <c r="Y7" s="74">
        <v>1</v>
      </c>
      <c r="Z7" s="75">
        <v>0</v>
      </c>
      <c r="AA7" s="75">
        <v>0</v>
      </c>
      <c r="AB7" s="75">
        <v>0</v>
      </c>
      <c r="AC7" s="75">
        <v>1</v>
      </c>
      <c r="AD7" s="75">
        <v>0</v>
      </c>
      <c r="AE7" s="76">
        <v>0</v>
      </c>
      <c r="AF7" s="74">
        <v>1</v>
      </c>
      <c r="AG7" s="75">
        <v>0</v>
      </c>
      <c r="AH7" s="75">
        <v>0</v>
      </c>
      <c r="AI7" s="75">
        <v>0</v>
      </c>
      <c r="AJ7" s="75">
        <v>1</v>
      </c>
      <c r="AK7" s="75">
        <v>0</v>
      </c>
      <c r="AL7" s="76">
        <v>0</v>
      </c>
      <c r="AM7" s="74">
        <v>0</v>
      </c>
      <c r="AN7" s="75">
        <v>1</v>
      </c>
      <c r="AO7" s="75">
        <v>0</v>
      </c>
      <c r="AP7" s="75">
        <v>0</v>
      </c>
      <c r="AQ7" s="75">
        <v>1</v>
      </c>
      <c r="AR7" s="75">
        <v>0</v>
      </c>
      <c r="AS7" s="76">
        <v>0</v>
      </c>
      <c r="AT7" s="74">
        <v>0</v>
      </c>
      <c r="AU7" s="75">
        <v>1</v>
      </c>
      <c r="AV7" s="75">
        <v>0</v>
      </c>
      <c r="AW7" s="75">
        <v>0</v>
      </c>
      <c r="AX7" s="75">
        <v>0</v>
      </c>
      <c r="AY7" s="75">
        <v>0</v>
      </c>
      <c r="AZ7" s="76">
        <v>0</v>
      </c>
      <c r="BA7" s="74">
        <v>0</v>
      </c>
      <c r="BB7" s="75">
        <v>0</v>
      </c>
      <c r="BC7" s="75">
        <v>1</v>
      </c>
      <c r="BD7" s="75">
        <v>0</v>
      </c>
      <c r="BE7" s="75">
        <v>0</v>
      </c>
      <c r="BF7" s="75">
        <v>0</v>
      </c>
      <c r="BG7" s="76">
        <v>0</v>
      </c>
      <c r="BH7" s="74">
        <v>0</v>
      </c>
      <c r="BI7" s="75">
        <v>1</v>
      </c>
      <c r="BJ7" s="75">
        <v>0</v>
      </c>
      <c r="BK7" s="75">
        <v>0</v>
      </c>
      <c r="BL7" s="75">
        <v>0</v>
      </c>
      <c r="BM7" s="75">
        <v>0</v>
      </c>
      <c r="BN7" s="76">
        <v>0</v>
      </c>
      <c r="BO7" s="74">
        <v>0</v>
      </c>
      <c r="BP7" s="75">
        <v>1</v>
      </c>
      <c r="BQ7" s="75">
        <v>0</v>
      </c>
      <c r="BR7" s="75">
        <v>0</v>
      </c>
      <c r="BS7" s="75">
        <v>0</v>
      </c>
      <c r="BT7" s="75">
        <v>0</v>
      </c>
      <c r="BU7" s="76">
        <v>0</v>
      </c>
      <c r="BV7" s="73">
        <v>3</v>
      </c>
    </row>
    <row r="8" spans="2:74" ht="24.95" customHeight="1" x14ac:dyDescent="0.25">
      <c r="C8" s="69">
        <v>4</v>
      </c>
      <c r="D8" s="74">
        <v>0</v>
      </c>
      <c r="E8" s="75">
        <v>1</v>
      </c>
      <c r="F8" s="75">
        <v>1</v>
      </c>
      <c r="G8" s="75">
        <v>1</v>
      </c>
      <c r="H8" s="75">
        <v>1</v>
      </c>
      <c r="I8" s="75">
        <v>0</v>
      </c>
      <c r="J8" s="76">
        <v>0</v>
      </c>
      <c r="K8" s="74">
        <v>0</v>
      </c>
      <c r="L8" s="75">
        <v>0</v>
      </c>
      <c r="M8" s="75">
        <v>0</v>
      </c>
      <c r="N8" s="75">
        <v>0</v>
      </c>
      <c r="O8" s="75">
        <v>0</v>
      </c>
      <c r="P8" s="75">
        <v>0</v>
      </c>
      <c r="Q8" s="76">
        <v>1</v>
      </c>
      <c r="R8" s="74">
        <v>0</v>
      </c>
      <c r="S8" s="75">
        <v>0</v>
      </c>
      <c r="T8" s="75">
        <v>1</v>
      </c>
      <c r="U8" s="75">
        <v>1</v>
      </c>
      <c r="V8" s="75">
        <v>0</v>
      </c>
      <c r="W8" s="75">
        <v>0</v>
      </c>
      <c r="X8" s="76">
        <v>0</v>
      </c>
      <c r="Y8" s="74">
        <v>1</v>
      </c>
      <c r="Z8" s="75">
        <v>0</v>
      </c>
      <c r="AA8" s="75">
        <v>0</v>
      </c>
      <c r="AB8" s="75">
        <v>0</v>
      </c>
      <c r="AC8" s="75">
        <v>1</v>
      </c>
      <c r="AD8" s="75">
        <v>0</v>
      </c>
      <c r="AE8" s="76">
        <v>0</v>
      </c>
      <c r="AF8" s="74">
        <v>1</v>
      </c>
      <c r="AG8" s="75">
        <v>0</v>
      </c>
      <c r="AH8" s="75">
        <v>0</v>
      </c>
      <c r="AI8" s="75">
        <v>0</v>
      </c>
      <c r="AJ8" s="75">
        <v>1</v>
      </c>
      <c r="AK8" s="75">
        <v>0</v>
      </c>
      <c r="AL8" s="76">
        <v>0</v>
      </c>
      <c r="AM8" s="74">
        <v>1</v>
      </c>
      <c r="AN8" s="75">
        <v>0</v>
      </c>
      <c r="AO8" s="75">
        <v>0</v>
      </c>
      <c r="AP8" s="75">
        <v>0</v>
      </c>
      <c r="AQ8" s="75">
        <v>1</v>
      </c>
      <c r="AR8" s="75">
        <v>0</v>
      </c>
      <c r="AS8" s="76">
        <v>0</v>
      </c>
      <c r="AT8" s="74">
        <v>0</v>
      </c>
      <c r="AU8" s="75">
        <v>1</v>
      </c>
      <c r="AV8" s="75">
        <v>0</v>
      </c>
      <c r="AW8" s="75">
        <v>0</v>
      </c>
      <c r="AX8" s="75">
        <v>0</v>
      </c>
      <c r="AY8" s="75">
        <v>0</v>
      </c>
      <c r="AZ8" s="76">
        <v>0</v>
      </c>
      <c r="BA8" s="74">
        <v>0</v>
      </c>
      <c r="BB8" s="75">
        <v>0</v>
      </c>
      <c r="BC8" s="75">
        <v>1</v>
      </c>
      <c r="BD8" s="75">
        <v>0</v>
      </c>
      <c r="BE8" s="75">
        <v>0</v>
      </c>
      <c r="BF8" s="75">
        <v>0</v>
      </c>
      <c r="BG8" s="76">
        <v>0</v>
      </c>
      <c r="BH8" s="74">
        <v>0</v>
      </c>
      <c r="BI8" s="75">
        <v>1</v>
      </c>
      <c r="BJ8" s="75">
        <v>0</v>
      </c>
      <c r="BK8" s="75">
        <v>0</v>
      </c>
      <c r="BL8" s="75">
        <v>0</v>
      </c>
      <c r="BM8" s="75">
        <v>0</v>
      </c>
      <c r="BN8" s="76">
        <v>0</v>
      </c>
      <c r="BO8" s="74">
        <v>0</v>
      </c>
      <c r="BP8" s="75">
        <v>1</v>
      </c>
      <c r="BQ8" s="75">
        <v>0</v>
      </c>
      <c r="BR8" s="75">
        <v>0</v>
      </c>
      <c r="BS8" s="75">
        <v>0</v>
      </c>
      <c r="BT8" s="75">
        <v>0</v>
      </c>
      <c r="BU8" s="76">
        <v>0</v>
      </c>
      <c r="BV8" s="73">
        <v>4</v>
      </c>
    </row>
    <row r="9" spans="2:74" ht="24.95" customHeight="1" x14ac:dyDescent="0.25">
      <c r="C9" s="69">
        <v>5</v>
      </c>
      <c r="D9" s="74">
        <v>0</v>
      </c>
      <c r="E9" s="75">
        <v>0</v>
      </c>
      <c r="F9" s="75">
        <v>0</v>
      </c>
      <c r="G9" s="75">
        <v>0</v>
      </c>
      <c r="H9" s="75">
        <v>1</v>
      </c>
      <c r="I9" s="75">
        <v>0</v>
      </c>
      <c r="J9" s="76">
        <v>0</v>
      </c>
      <c r="K9" s="74">
        <v>0</v>
      </c>
      <c r="L9" s="75">
        <v>0</v>
      </c>
      <c r="M9" s="75">
        <v>0</v>
      </c>
      <c r="N9" s="75">
        <v>0</v>
      </c>
      <c r="O9" s="75">
        <v>0</v>
      </c>
      <c r="P9" s="75">
        <v>0</v>
      </c>
      <c r="Q9" s="76">
        <v>0</v>
      </c>
      <c r="R9" s="74">
        <v>0</v>
      </c>
      <c r="S9" s="75">
        <v>1</v>
      </c>
      <c r="T9" s="75">
        <v>0</v>
      </c>
      <c r="U9" s="75">
        <v>0</v>
      </c>
      <c r="V9" s="75">
        <v>0</v>
      </c>
      <c r="W9" s="75">
        <v>0</v>
      </c>
      <c r="X9" s="76">
        <v>0</v>
      </c>
      <c r="Y9" s="74">
        <v>0</v>
      </c>
      <c r="Z9" s="75">
        <v>1</v>
      </c>
      <c r="AA9" s="75">
        <v>1</v>
      </c>
      <c r="AB9" s="75">
        <v>1</v>
      </c>
      <c r="AC9" s="75">
        <v>0</v>
      </c>
      <c r="AD9" s="75">
        <v>0</v>
      </c>
      <c r="AE9" s="76">
        <v>0</v>
      </c>
      <c r="AF9" s="74">
        <v>1</v>
      </c>
      <c r="AG9" s="75">
        <v>1</v>
      </c>
      <c r="AH9" s="75">
        <v>1</v>
      </c>
      <c r="AI9" s="75">
        <v>1</v>
      </c>
      <c r="AJ9" s="75">
        <v>1</v>
      </c>
      <c r="AK9" s="75">
        <v>0</v>
      </c>
      <c r="AL9" s="76">
        <v>0</v>
      </c>
      <c r="AM9" s="74">
        <v>0</v>
      </c>
      <c r="AN9" s="75">
        <v>0</v>
      </c>
      <c r="AO9" s="75">
        <v>0</v>
      </c>
      <c r="AP9" s="75">
        <v>0</v>
      </c>
      <c r="AQ9" s="75">
        <v>0</v>
      </c>
      <c r="AR9" s="75">
        <v>0</v>
      </c>
      <c r="AS9" s="76">
        <v>0</v>
      </c>
      <c r="AT9" s="74">
        <v>0</v>
      </c>
      <c r="AU9" s="75">
        <v>0</v>
      </c>
      <c r="AV9" s="75">
        <v>1</v>
      </c>
      <c r="AW9" s="75">
        <v>1</v>
      </c>
      <c r="AX9" s="75">
        <v>1</v>
      </c>
      <c r="AY9" s="75">
        <v>0</v>
      </c>
      <c r="AZ9" s="76">
        <v>0</v>
      </c>
      <c r="BA9" s="74">
        <v>0</v>
      </c>
      <c r="BB9" s="75">
        <v>0</v>
      </c>
      <c r="BC9" s="75">
        <v>0</v>
      </c>
      <c r="BD9" s="75">
        <v>1</v>
      </c>
      <c r="BE9" s="75">
        <v>1</v>
      </c>
      <c r="BF9" s="75">
        <v>1</v>
      </c>
      <c r="BG9" s="76">
        <v>0</v>
      </c>
      <c r="BH9" s="74">
        <v>0</v>
      </c>
      <c r="BI9" s="75">
        <v>1</v>
      </c>
      <c r="BJ9" s="75">
        <v>0</v>
      </c>
      <c r="BK9" s="75">
        <v>0</v>
      </c>
      <c r="BL9" s="75">
        <v>0</v>
      </c>
      <c r="BM9" s="75">
        <v>0</v>
      </c>
      <c r="BN9" s="76">
        <v>0</v>
      </c>
      <c r="BO9" s="74">
        <v>0</v>
      </c>
      <c r="BP9" s="75">
        <v>1</v>
      </c>
      <c r="BQ9" s="75">
        <v>1</v>
      </c>
      <c r="BR9" s="75">
        <v>1</v>
      </c>
      <c r="BS9" s="75">
        <v>1</v>
      </c>
      <c r="BT9" s="75">
        <v>0</v>
      </c>
      <c r="BU9" s="76">
        <v>0</v>
      </c>
      <c r="BV9" s="73">
        <v>5</v>
      </c>
    </row>
    <row r="10" spans="2:74" ht="24.95" customHeight="1" x14ac:dyDescent="0.25">
      <c r="C10" s="69">
        <v>6</v>
      </c>
      <c r="D10" s="74">
        <v>0</v>
      </c>
      <c r="E10" s="75">
        <v>0</v>
      </c>
      <c r="F10" s="75">
        <v>0</v>
      </c>
      <c r="G10" s="75">
        <v>0</v>
      </c>
      <c r="H10" s="75">
        <v>1</v>
      </c>
      <c r="I10" s="75">
        <v>0</v>
      </c>
      <c r="J10" s="76">
        <v>0</v>
      </c>
      <c r="K10" s="74">
        <v>0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6">
        <v>1</v>
      </c>
      <c r="R10" s="74">
        <v>0</v>
      </c>
      <c r="S10" s="75">
        <v>1</v>
      </c>
      <c r="T10" s="75">
        <v>0</v>
      </c>
      <c r="U10" s="75">
        <v>0</v>
      </c>
      <c r="V10" s="75">
        <v>0</v>
      </c>
      <c r="W10" s="75">
        <v>0</v>
      </c>
      <c r="X10" s="76">
        <v>0</v>
      </c>
      <c r="Y10" s="74">
        <v>0</v>
      </c>
      <c r="Z10" s="75">
        <v>0</v>
      </c>
      <c r="AA10" s="75">
        <v>0</v>
      </c>
      <c r="AB10" s="75">
        <v>0</v>
      </c>
      <c r="AC10" s="75">
        <v>1</v>
      </c>
      <c r="AD10" s="75">
        <v>0</v>
      </c>
      <c r="AE10" s="76">
        <v>0</v>
      </c>
      <c r="AF10" s="74">
        <v>1</v>
      </c>
      <c r="AG10" s="75">
        <v>0</v>
      </c>
      <c r="AH10" s="75">
        <v>0</v>
      </c>
      <c r="AI10" s="75">
        <v>0</v>
      </c>
      <c r="AJ10" s="75">
        <v>1</v>
      </c>
      <c r="AK10" s="75">
        <v>0</v>
      </c>
      <c r="AL10" s="76">
        <v>0</v>
      </c>
      <c r="AM10" s="74">
        <v>1</v>
      </c>
      <c r="AN10" s="75">
        <v>0</v>
      </c>
      <c r="AO10" s="75">
        <v>0</v>
      </c>
      <c r="AP10" s="75">
        <v>0</v>
      </c>
      <c r="AQ10" s="75">
        <v>1</v>
      </c>
      <c r="AR10" s="75">
        <v>0</v>
      </c>
      <c r="AS10" s="76">
        <v>0</v>
      </c>
      <c r="AT10" s="74">
        <v>0</v>
      </c>
      <c r="AU10" s="75">
        <v>0</v>
      </c>
      <c r="AV10" s="75">
        <v>0</v>
      </c>
      <c r="AW10" s="75">
        <v>0</v>
      </c>
      <c r="AX10" s="75">
        <v>0</v>
      </c>
      <c r="AY10" s="75">
        <v>1</v>
      </c>
      <c r="AZ10" s="76">
        <v>0</v>
      </c>
      <c r="BA10" s="74">
        <v>0</v>
      </c>
      <c r="BB10" s="75">
        <v>0</v>
      </c>
      <c r="BC10" s="75">
        <v>1</v>
      </c>
      <c r="BD10" s="75">
        <v>0</v>
      </c>
      <c r="BE10" s="75">
        <v>0</v>
      </c>
      <c r="BF10" s="75">
        <v>0</v>
      </c>
      <c r="BG10" s="76">
        <v>1</v>
      </c>
      <c r="BH10" s="74">
        <v>0</v>
      </c>
      <c r="BI10" s="75">
        <v>1</v>
      </c>
      <c r="BJ10" s="75">
        <v>0</v>
      </c>
      <c r="BK10" s="75">
        <v>0</v>
      </c>
      <c r="BL10" s="75">
        <v>0</v>
      </c>
      <c r="BM10" s="75">
        <v>0</v>
      </c>
      <c r="BN10" s="76">
        <v>0</v>
      </c>
      <c r="BO10" s="74">
        <v>0</v>
      </c>
      <c r="BP10" s="75">
        <v>1</v>
      </c>
      <c r="BQ10" s="75">
        <v>0</v>
      </c>
      <c r="BR10" s="75">
        <v>0</v>
      </c>
      <c r="BS10" s="75">
        <v>0</v>
      </c>
      <c r="BT10" s="75">
        <v>0</v>
      </c>
      <c r="BU10" s="76">
        <v>0</v>
      </c>
      <c r="BV10" s="73">
        <v>6</v>
      </c>
    </row>
    <row r="11" spans="2:74" ht="24.95" customHeight="1" x14ac:dyDescent="0.25">
      <c r="B11" s="1"/>
      <c r="C11" s="69">
        <v>7</v>
      </c>
      <c r="D11" s="74">
        <v>0</v>
      </c>
      <c r="E11" s="75">
        <v>0</v>
      </c>
      <c r="F11" s="75">
        <v>0</v>
      </c>
      <c r="G11" s="75">
        <v>0</v>
      </c>
      <c r="H11" s="75">
        <v>0</v>
      </c>
      <c r="I11" s="75">
        <v>0</v>
      </c>
      <c r="J11" s="76">
        <v>0</v>
      </c>
      <c r="K11" s="74">
        <v>0</v>
      </c>
      <c r="L11" s="75">
        <v>0</v>
      </c>
      <c r="M11" s="75">
        <v>0</v>
      </c>
      <c r="N11" s="75">
        <v>0</v>
      </c>
      <c r="O11" s="75">
        <v>0</v>
      </c>
      <c r="P11" s="75">
        <v>0</v>
      </c>
      <c r="Q11" s="76">
        <v>1</v>
      </c>
      <c r="R11" s="74">
        <v>0</v>
      </c>
      <c r="S11" s="75">
        <v>0</v>
      </c>
      <c r="T11" s="75">
        <v>1</v>
      </c>
      <c r="U11" s="75">
        <v>1</v>
      </c>
      <c r="V11" s="75">
        <v>0</v>
      </c>
      <c r="W11" s="75">
        <v>0</v>
      </c>
      <c r="X11" s="76">
        <v>0</v>
      </c>
      <c r="Y11" s="74">
        <v>0</v>
      </c>
      <c r="Z11" s="75">
        <v>0</v>
      </c>
      <c r="AA11" s="75">
        <v>0</v>
      </c>
      <c r="AB11" s="75">
        <v>0</v>
      </c>
      <c r="AC11" s="75">
        <v>1</v>
      </c>
      <c r="AD11" s="75">
        <v>0</v>
      </c>
      <c r="AE11" s="76">
        <v>0</v>
      </c>
      <c r="AF11" s="74">
        <v>1</v>
      </c>
      <c r="AG11" s="75">
        <v>0</v>
      </c>
      <c r="AH11" s="75">
        <v>0</v>
      </c>
      <c r="AI11" s="75">
        <v>0</v>
      </c>
      <c r="AJ11" s="75">
        <v>1</v>
      </c>
      <c r="AK11" s="75">
        <v>0</v>
      </c>
      <c r="AL11" s="76">
        <v>0</v>
      </c>
      <c r="AM11" s="74">
        <v>1</v>
      </c>
      <c r="AN11" s="75">
        <v>0</v>
      </c>
      <c r="AO11" s="75">
        <v>0</v>
      </c>
      <c r="AP11" s="75">
        <v>0</v>
      </c>
      <c r="AQ11" s="75">
        <v>1</v>
      </c>
      <c r="AR11" s="75">
        <v>0</v>
      </c>
      <c r="AS11" s="76">
        <v>0</v>
      </c>
      <c r="AT11" s="74">
        <v>0</v>
      </c>
      <c r="AU11" s="75">
        <v>0</v>
      </c>
      <c r="AV11" s="75">
        <v>0</v>
      </c>
      <c r="AW11" s="75">
        <v>0</v>
      </c>
      <c r="AX11" s="75">
        <v>0</v>
      </c>
      <c r="AY11" s="75">
        <v>1</v>
      </c>
      <c r="AZ11" s="76">
        <v>0</v>
      </c>
      <c r="BA11" s="74">
        <v>0</v>
      </c>
      <c r="BB11" s="75">
        <v>0</v>
      </c>
      <c r="BC11" s="75">
        <v>1</v>
      </c>
      <c r="BD11" s="75">
        <v>0</v>
      </c>
      <c r="BE11" s="75">
        <v>0</v>
      </c>
      <c r="BF11" s="75">
        <v>0</v>
      </c>
      <c r="BG11" s="76">
        <v>1</v>
      </c>
      <c r="BH11" s="74">
        <v>0</v>
      </c>
      <c r="BI11" s="75">
        <v>1</v>
      </c>
      <c r="BJ11" s="75">
        <v>0</v>
      </c>
      <c r="BK11" s="75">
        <v>0</v>
      </c>
      <c r="BL11" s="75">
        <v>0</v>
      </c>
      <c r="BM11" s="75">
        <v>0</v>
      </c>
      <c r="BN11" s="76">
        <v>0</v>
      </c>
      <c r="BO11" s="74">
        <v>0</v>
      </c>
      <c r="BP11" s="75">
        <v>1</v>
      </c>
      <c r="BQ11" s="75">
        <v>0</v>
      </c>
      <c r="BR11" s="75">
        <v>0</v>
      </c>
      <c r="BS11" s="75">
        <v>0</v>
      </c>
      <c r="BT11" s="75">
        <v>0</v>
      </c>
      <c r="BU11" s="76">
        <v>0</v>
      </c>
      <c r="BV11" s="73">
        <v>7</v>
      </c>
    </row>
    <row r="12" spans="2:74" ht="24.95" customHeight="1" x14ac:dyDescent="0.25">
      <c r="B12" s="1"/>
      <c r="C12" s="69">
        <v>8</v>
      </c>
      <c r="D12" s="74">
        <v>0</v>
      </c>
      <c r="E12" s="75">
        <v>0</v>
      </c>
      <c r="F12" s="75">
        <v>0</v>
      </c>
      <c r="G12" s="75">
        <v>0</v>
      </c>
      <c r="H12" s="75">
        <v>0</v>
      </c>
      <c r="I12" s="75">
        <v>0</v>
      </c>
      <c r="J12" s="76">
        <v>0</v>
      </c>
      <c r="K12" s="74">
        <v>0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6">
        <v>1</v>
      </c>
      <c r="R12" s="74">
        <v>0</v>
      </c>
      <c r="S12" s="75">
        <v>0</v>
      </c>
      <c r="T12" s="75">
        <v>0</v>
      </c>
      <c r="U12" s="75">
        <v>0</v>
      </c>
      <c r="V12" s="75">
        <v>0</v>
      </c>
      <c r="W12" s="75">
        <v>0</v>
      </c>
      <c r="X12" s="76">
        <v>0</v>
      </c>
      <c r="Y12" s="74">
        <v>1</v>
      </c>
      <c r="Z12" s="75">
        <v>0</v>
      </c>
      <c r="AA12" s="75">
        <v>0</v>
      </c>
      <c r="AB12" s="75">
        <v>0</v>
      </c>
      <c r="AC12" s="75">
        <v>0</v>
      </c>
      <c r="AD12" s="75">
        <v>0</v>
      </c>
      <c r="AE12" s="76">
        <v>0</v>
      </c>
      <c r="AF12" s="74">
        <v>1</v>
      </c>
      <c r="AG12" s="75">
        <v>1</v>
      </c>
      <c r="AH12" s="75">
        <v>0</v>
      </c>
      <c r="AI12" s="75">
        <v>0</v>
      </c>
      <c r="AJ12" s="75">
        <v>1</v>
      </c>
      <c r="AK12" s="75">
        <v>0</v>
      </c>
      <c r="AL12" s="76">
        <v>0</v>
      </c>
      <c r="AM12" s="74">
        <v>1</v>
      </c>
      <c r="AN12" s="75">
        <v>0</v>
      </c>
      <c r="AO12" s="75">
        <v>0</v>
      </c>
      <c r="AP12" s="75">
        <v>0</v>
      </c>
      <c r="AQ12" s="75">
        <v>1</v>
      </c>
      <c r="AR12" s="75">
        <v>0</v>
      </c>
      <c r="AS12" s="76">
        <v>0</v>
      </c>
      <c r="AT12" s="74">
        <v>0</v>
      </c>
      <c r="AU12" s="75">
        <v>0</v>
      </c>
      <c r="AV12" s="75">
        <v>0</v>
      </c>
      <c r="AW12" s="75">
        <v>0</v>
      </c>
      <c r="AX12" s="75">
        <v>0</v>
      </c>
      <c r="AY12" s="75">
        <v>1</v>
      </c>
      <c r="AZ12" s="76">
        <v>0</v>
      </c>
      <c r="BA12" s="74">
        <v>0</v>
      </c>
      <c r="BB12" s="75">
        <v>0</v>
      </c>
      <c r="BC12" s="75">
        <v>1</v>
      </c>
      <c r="BD12" s="75">
        <v>0</v>
      </c>
      <c r="BE12" s="75">
        <v>0</v>
      </c>
      <c r="BF12" s="75">
        <v>0</v>
      </c>
      <c r="BG12" s="76">
        <v>1</v>
      </c>
      <c r="BH12" s="74">
        <v>0</v>
      </c>
      <c r="BI12" s="75">
        <v>1</v>
      </c>
      <c r="BJ12" s="75">
        <v>0</v>
      </c>
      <c r="BK12" s="75">
        <v>0</v>
      </c>
      <c r="BL12" s="75">
        <v>0</v>
      </c>
      <c r="BM12" s="75">
        <v>0</v>
      </c>
      <c r="BN12" s="76">
        <v>0</v>
      </c>
      <c r="BO12" s="74">
        <v>0</v>
      </c>
      <c r="BP12" s="75">
        <v>1</v>
      </c>
      <c r="BQ12" s="75">
        <v>0</v>
      </c>
      <c r="BR12" s="75">
        <v>0</v>
      </c>
      <c r="BS12" s="75">
        <v>0</v>
      </c>
      <c r="BT12" s="75">
        <v>0</v>
      </c>
      <c r="BU12" s="76">
        <v>0</v>
      </c>
      <c r="BV12" s="73">
        <v>8</v>
      </c>
    </row>
    <row r="13" spans="2:74" ht="24.95" customHeight="1" x14ac:dyDescent="0.25">
      <c r="B13" s="1"/>
      <c r="C13" s="69">
        <v>9</v>
      </c>
      <c r="D13" s="77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9">
        <v>0</v>
      </c>
      <c r="K13" s="77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9">
        <v>0</v>
      </c>
      <c r="R13" s="77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9">
        <v>0</v>
      </c>
      <c r="Y13" s="77">
        <v>0</v>
      </c>
      <c r="Z13" s="78">
        <v>1</v>
      </c>
      <c r="AA13" s="78">
        <v>1</v>
      </c>
      <c r="AB13" s="78">
        <v>1</v>
      </c>
      <c r="AC13" s="78">
        <v>1</v>
      </c>
      <c r="AD13" s="78">
        <v>0</v>
      </c>
      <c r="AE13" s="79">
        <v>0</v>
      </c>
      <c r="AF13" s="77">
        <v>0</v>
      </c>
      <c r="AG13" s="78">
        <v>1</v>
      </c>
      <c r="AH13" s="78">
        <v>1</v>
      </c>
      <c r="AI13" s="78">
        <v>1</v>
      </c>
      <c r="AJ13" s="78">
        <v>1</v>
      </c>
      <c r="AK13" s="78">
        <v>0</v>
      </c>
      <c r="AL13" s="79">
        <v>0</v>
      </c>
      <c r="AM13" s="77">
        <v>0</v>
      </c>
      <c r="AN13" s="78">
        <v>1</v>
      </c>
      <c r="AO13" s="78">
        <v>1</v>
      </c>
      <c r="AP13" s="78">
        <v>1</v>
      </c>
      <c r="AQ13" s="78">
        <v>0</v>
      </c>
      <c r="AR13" s="78">
        <v>0</v>
      </c>
      <c r="AS13" s="79">
        <v>0</v>
      </c>
      <c r="AT13" s="77">
        <v>0</v>
      </c>
      <c r="AU13" s="78">
        <v>1</v>
      </c>
      <c r="AV13" s="78">
        <v>1</v>
      </c>
      <c r="AW13" s="78">
        <v>1</v>
      </c>
      <c r="AX13" s="78">
        <v>1</v>
      </c>
      <c r="AY13" s="78">
        <v>0</v>
      </c>
      <c r="AZ13" s="79">
        <v>0</v>
      </c>
      <c r="BA13" s="77">
        <v>0</v>
      </c>
      <c r="BB13" s="78">
        <v>0</v>
      </c>
      <c r="BC13" s="78">
        <v>1</v>
      </c>
      <c r="BD13" s="78">
        <v>1</v>
      </c>
      <c r="BE13" s="78">
        <v>1</v>
      </c>
      <c r="BF13" s="78">
        <v>1</v>
      </c>
      <c r="BG13" s="79">
        <v>1</v>
      </c>
      <c r="BH13" s="77">
        <v>0</v>
      </c>
      <c r="BI13" s="78">
        <v>1</v>
      </c>
      <c r="BJ13" s="78">
        <v>0</v>
      </c>
      <c r="BK13" s="78">
        <v>0</v>
      </c>
      <c r="BL13" s="78">
        <v>0</v>
      </c>
      <c r="BM13" s="78">
        <v>0</v>
      </c>
      <c r="BN13" s="79">
        <v>0</v>
      </c>
      <c r="BO13" s="77">
        <v>0</v>
      </c>
      <c r="BP13" s="78">
        <v>0</v>
      </c>
      <c r="BQ13" s="78">
        <v>1</v>
      </c>
      <c r="BR13" s="78">
        <v>1</v>
      </c>
      <c r="BS13" s="78">
        <v>1</v>
      </c>
      <c r="BT13" s="78">
        <v>0</v>
      </c>
      <c r="BU13" s="79">
        <v>0</v>
      </c>
      <c r="BV13" s="73">
        <v>9</v>
      </c>
    </row>
    <row r="14" spans="2:74" ht="24.95" hidden="1" customHeight="1" thickBot="1" x14ac:dyDescent="0.3">
      <c r="B14" s="1"/>
      <c r="C14" s="26"/>
      <c r="D14" s="26"/>
      <c r="E14" s="26"/>
      <c r="F14" s="26"/>
      <c r="G14" s="31"/>
      <c r="T14" s="31"/>
      <c r="U14" s="31"/>
      <c r="V14" s="31"/>
      <c r="W14" s="31"/>
    </row>
    <row r="15" spans="2:74" ht="20.100000000000001" hidden="1" customHeight="1" thickBot="1" x14ac:dyDescent="0.3">
      <c r="B15" s="23" t="s">
        <v>5</v>
      </c>
      <c r="C15" s="22"/>
      <c r="D15" s="22"/>
      <c r="E15" s="33" t="s">
        <v>9</v>
      </c>
      <c r="F15" s="33" t="s">
        <v>10</v>
      </c>
      <c r="G15" s="33" t="s">
        <v>8</v>
      </c>
      <c r="H15" s="33"/>
      <c r="I15" s="22"/>
      <c r="J15" s="22"/>
      <c r="K15" s="22"/>
      <c r="L15" s="33" t="s">
        <v>9</v>
      </c>
      <c r="M15" s="33" t="s">
        <v>10</v>
      </c>
      <c r="N15" s="33" t="s">
        <v>8</v>
      </c>
      <c r="O15" s="33"/>
      <c r="P15" s="22"/>
      <c r="Q15" s="22"/>
      <c r="R15" s="22"/>
      <c r="S15" s="33" t="s">
        <v>9</v>
      </c>
      <c r="T15" s="33" t="s">
        <v>10</v>
      </c>
      <c r="U15" s="33" t="s">
        <v>8</v>
      </c>
      <c r="V15" s="33"/>
      <c r="W15" s="22"/>
      <c r="X15" s="22"/>
      <c r="Y15" s="22"/>
      <c r="Z15" s="33" t="s">
        <v>9</v>
      </c>
      <c r="AA15" s="33" t="s">
        <v>10</v>
      </c>
      <c r="AB15" s="33" t="s">
        <v>8</v>
      </c>
      <c r="AC15" s="33"/>
      <c r="AD15" s="22"/>
      <c r="AE15" s="22"/>
      <c r="AF15" s="22"/>
      <c r="AG15" s="33" t="s">
        <v>9</v>
      </c>
      <c r="AH15" s="33" t="s">
        <v>10</v>
      </c>
      <c r="AI15" s="33" t="s">
        <v>8</v>
      </c>
      <c r="AJ15" s="33"/>
      <c r="AK15" s="22"/>
      <c r="AL15" s="22"/>
      <c r="AM15" s="22"/>
      <c r="AN15" s="33" t="s">
        <v>9</v>
      </c>
      <c r="AO15" s="33" t="s">
        <v>10</v>
      </c>
      <c r="AP15" s="33" t="s">
        <v>8</v>
      </c>
      <c r="AQ15" s="33"/>
      <c r="AR15" s="22"/>
      <c r="AS15" s="22"/>
      <c r="AT15" s="22"/>
      <c r="AU15" s="33" t="s">
        <v>9</v>
      </c>
      <c r="AV15" s="33" t="s">
        <v>10</v>
      </c>
      <c r="AW15" s="33" t="s">
        <v>8</v>
      </c>
      <c r="AX15" s="33"/>
      <c r="AY15" s="22"/>
      <c r="AZ15" s="22"/>
      <c r="BA15" s="22"/>
      <c r="BB15" s="33" t="s">
        <v>9</v>
      </c>
      <c r="BC15" s="33" t="s">
        <v>10</v>
      </c>
      <c r="BD15" s="33" t="s">
        <v>8</v>
      </c>
      <c r="BE15" s="33"/>
      <c r="BF15" s="22"/>
      <c r="BG15" s="22"/>
      <c r="BH15" s="22"/>
      <c r="BI15" s="33" t="s">
        <v>9</v>
      </c>
      <c r="BJ15" s="33" t="s">
        <v>10</v>
      </c>
      <c r="BK15" s="33" t="s">
        <v>8</v>
      </c>
      <c r="BL15" s="33"/>
      <c r="BM15" s="22"/>
      <c r="BN15" s="22"/>
      <c r="BO15" s="22"/>
      <c r="BP15" s="33" t="s">
        <v>9</v>
      </c>
      <c r="BQ15" s="33" t="s">
        <v>10</v>
      </c>
      <c r="BR15" s="33" t="s">
        <v>8</v>
      </c>
      <c r="BS15" s="34"/>
    </row>
    <row r="16" spans="2:74" ht="20.100000000000001" hidden="1" customHeight="1" thickBot="1" x14ac:dyDescent="0.3">
      <c r="B16" s="24" t="s">
        <v>2</v>
      </c>
      <c r="C16" s="26"/>
      <c r="D16" s="5"/>
      <c r="E16" s="32">
        <v>0</v>
      </c>
      <c r="F16" s="32">
        <v>0</v>
      </c>
      <c r="G16" s="108">
        <f t="array" ref="G16">SUM(Matrice1*$D$4:$J$4^E16*$C$5:$C$13^F16)</f>
        <v>12</v>
      </c>
      <c r="H16" s="114"/>
      <c r="I16" s="26"/>
      <c r="J16" s="26"/>
      <c r="K16" s="26"/>
      <c r="L16" s="32">
        <v>0</v>
      </c>
      <c r="M16" s="32">
        <v>0</v>
      </c>
      <c r="N16" s="108">
        <f t="array" ref="N16">SUM(Matrice2*$D$4:$J$4^E16*$C$5:$C$13^F16)</f>
        <v>9</v>
      </c>
      <c r="O16" s="114"/>
      <c r="P16" s="26"/>
      <c r="Q16" s="26"/>
      <c r="R16" s="26"/>
      <c r="S16" s="32">
        <v>0</v>
      </c>
      <c r="T16" s="32">
        <v>0</v>
      </c>
      <c r="U16" s="108">
        <f t="array" ref="U16">SUM(Matrice3*$D$4:$J$4^E16*$C$5:$C$13^F16)</f>
        <v>10</v>
      </c>
      <c r="V16" s="114"/>
      <c r="W16" s="26"/>
      <c r="X16" s="26"/>
      <c r="Y16" s="26"/>
      <c r="Z16" s="32">
        <v>0</v>
      </c>
      <c r="AA16" s="32">
        <v>0</v>
      </c>
      <c r="AB16" s="108">
        <f t="array" ref="AB16">SUM(Matrice4*$D$4:$J$4^E16*$C$5:$C$13^F16)</f>
        <v>19</v>
      </c>
      <c r="AC16" s="114"/>
      <c r="AD16" s="26"/>
      <c r="AE16" s="26"/>
      <c r="AF16" s="26"/>
      <c r="AG16" s="32">
        <v>0</v>
      </c>
      <c r="AH16" s="32">
        <v>0</v>
      </c>
      <c r="AI16" s="108">
        <f t="array" ref="AI16">SUM(Matrice5*$D$4:$J$4^E16*$C$5:$C$13^F16)</f>
        <v>27</v>
      </c>
      <c r="AJ16" s="114"/>
      <c r="AK16" s="26"/>
      <c r="AL16" s="26"/>
      <c r="AM16" s="26"/>
      <c r="AN16" s="32">
        <v>0</v>
      </c>
      <c r="AO16" s="32">
        <v>0</v>
      </c>
      <c r="AP16" s="108">
        <f t="array" ref="AP16">SUM(Matrice6*$D$4:$J$4^E16*$C$5:$C$13^F16)</f>
        <v>18</v>
      </c>
      <c r="AQ16" s="114"/>
      <c r="AR16" s="26"/>
      <c r="AS16" s="26"/>
      <c r="AT16" s="26"/>
      <c r="AU16" s="32">
        <v>0</v>
      </c>
      <c r="AV16" s="32">
        <v>0</v>
      </c>
      <c r="AW16" s="108">
        <f t="array" ref="AW16">SUM(Matrice7*$D$4:$J$4^E16*$C$5:$C$13^F16)</f>
        <v>16</v>
      </c>
      <c r="AX16" s="114"/>
      <c r="AY16" s="26"/>
      <c r="AZ16" s="26"/>
      <c r="BA16" s="26"/>
      <c r="BB16" s="32">
        <v>0</v>
      </c>
      <c r="BC16" s="32">
        <v>0</v>
      </c>
      <c r="BD16" s="102">
        <f t="array" ref="BD16">SUM(Matrice8*$D$4:$J$4^E16*$C$5:$C$13^F16)</f>
        <v>20</v>
      </c>
      <c r="BE16" s="103"/>
      <c r="BF16" s="26"/>
      <c r="BG16" s="26"/>
      <c r="BH16" s="26"/>
      <c r="BI16" s="32">
        <v>0</v>
      </c>
      <c r="BJ16" s="32">
        <v>0</v>
      </c>
      <c r="BK16" s="108">
        <f t="array" ref="BK16">SUM(Matrice9*$D$4:$J$4^E16*$C$5:$C$13^F16)</f>
        <v>9</v>
      </c>
      <c r="BL16" s="114"/>
      <c r="BM16" s="26"/>
      <c r="BN16" s="26"/>
      <c r="BO16" s="26"/>
      <c r="BP16" s="32">
        <v>0</v>
      </c>
      <c r="BQ16" s="32">
        <v>0</v>
      </c>
      <c r="BR16" s="108">
        <f t="array" ref="BR16">SUM(Matrice10*$D$4:$J$4^E16*$C$5:$C$13^F16)</f>
        <v>16</v>
      </c>
      <c r="BS16" s="109"/>
    </row>
    <row r="17" spans="2:72" ht="20.100000000000001" hidden="1" customHeight="1" thickTop="1" thickBot="1" x14ac:dyDescent="0.3">
      <c r="B17" s="24" t="s">
        <v>3</v>
      </c>
      <c r="C17" s="26"/>
      <c r="D17" s="26"/>
      <c r="E17" s="30">
        <v>0</v>
      </c>
      <c r="F17" s="30">
        <v>1</v>
      </c>
      <c r="G17" s="110">
        <f t="array" ref="G17">SUM(Matrice1*$D$4:$J$4^E17*$C$5:$C$13^F17)</f>
        <v>39</v>
      </c>
      <c r="H17" s="115"/>
      <c r="I17" s="26"/>
      <c r="J17" s="26"/>
      <c r="K17" s="26"/>
      <c r="L17" s="30">
        <v>0</v>
      </c>
      <c r="M17" s="30">
        <v>1</v>
      </c>
      <c r="N17" s="110">
        <f t="array" ref="N17">SUM(Matrice2*$D$4:$J$4^E17*$C$5:$C$13^F17)</f>
        <v>33</v>
      </c>
      <c r="O17" s="115"/>
      <c r="P17" s="26"/>
      <c r="Q17" s="26"/>
      <c r="R17" s="26"/>
      <c r="S17" s="30">
        <v>0</v>
      </c>
      <c r="T17" s="30">
        <v>1</v>
      </c>
      <c r="U17" s="110">
        <f t="array" ref="U17">SUM(Matrice3*$D$4:$J$4^E17*$C$5:$C$13^F17)</f>
        <v>40</v>
      </c>
      <c r="V17" s="115"/>
      <c r="W17" s="26"/>
      <c r="X17" s="26"/>
      <c r="Y17" s="26"/>
      <c r="Z17" s="30">
        <v>0</v>
      </c>
      <c r="AA17" s="30">
        <v>1</v>
      </c>
      <c r="AB17" s="110">
        <f t="array" ref="AB17">SUM(Matrice4*$D$4:$J$4^E17*$C$5:$C$13^F17)</f>
        <v>93</v>
      </c>
      <c r="AC17" s="115"/>
      <c r="AD17" s="26"/>
      <c r="AE17" s="26"/>
      <c r="AF17" s="26"/>
      <c r="AG17" s="30">
        <v>0</v>
      </c>
      <c r="AH17" s="30">
        <v>1</v>
      </c>
      <c r="AI17" s="110">
        <f t="array" ref="AI17">SUM(Matrice5*$D$4:$J$4^E17*$C$5:$C$13^F17)</f>
        <v>134</v>
      </c>
      <c r="AJ17" s="115"/>
      <c r="AK17" s="26"/>
      <c r="AL17" s="26"/>
      <c r="AM17" s="26"/>
      <c r="AN17" s="30">
        <v>0</v>
      </c>
      <c r="AO17" s="30">
        <v>1</v>
      </c>
      <c r="AP17" s="110">
        <f t="array" ref="AP17">SUM(Matrice6*$D$4:$J$4^E17*$C$5:$C$13^F17)</f>
        <v>90</v>
      </c>
      <c r="AQ17" s="115"/>
      <c r="AR17" s="26"/>
      <c r="AS17" s="26"/>
      <c r="AT17" s="26"/>
      <c r="AU17" s="30">
        <v>0</v>
      </c>
      <c r="AV17" s="30">
        <v>1</v>
      </c>
      <c r="AW17" s="110">
        <f t="array" ref="AW17">SUM(Matrice7*$D$4:$J$4^E17*$C$5:$C$13^F17)</f>
        <v>84</v>
      </c>
      <c r="AX17" s="115"/>
      <c r="AY17" s="26"/>
      <c r="AZ17" s="26"/>
      <c r="BA17" s="26"/>
      <c r="BB17" s="30">
        <v>0</v>
      </c>
      <c r="BC17" s="30">
        <v>1</v>
      </c>
      <c r="BD17" s="104">
        <f t="array" ref="BD17">SUM(Matrice8*$D$4:$J$4^E17*$C$5:$C$13^F17)</f>
        <v>114</v>
      </c>
      <c r="BE17" s="105"/>
      <c r="BF17" s="26"/>
      <c r="BG17" s="26"/>
      <c r="BH17" s="26"/>
      <c r="BI17" s="30">
        <v>0</v>
      </c>
      <c r="BJ17" s="30">
        <v>1</v>
      </c>
      <c r="BK17" s="110">
        <f t="array" ref="BK17">SUM(Matrice9*$D$4:$J$4^E17*$C$5:$C$13^F17)</f>
        <v>45</v>
      </c>
      <c r="BL17" s="115"/>
      <c r="BM17" s="26"/>
      <c r="BN17" s="26"/>
      <c r="BO17" s="26"/>
      <c r="BP17" s="30">
        <v>0</v>
      </c>
      <c r="BQ17" s="30">
        <v>1</v>
      </c>
      <c r="BR17" s="110">
        <f t="array" ref="BR17">SUM(Matrice10*$D$4:$J$4^E17*$C$5:$C$13^F17)</f>
        <v>80</v>
      </c>
      <c r="BS17" s="111"/>
    </row>
    <row r="18" spans="2:72" ht="20.100000000000001" hidden="1" customHeight="1" thickTop="1" thickBot="1" x14ac:dyDescent="0.3">
      <c r="B18" s="25" t="s">
        <v>4</v>
      </c>
      <c r="C18" s="27"/>
      <c r="D18" s="27"/>
      <c r="E18" s="35">
        <v>1</v>
      </c>
      <c r="F18" s="35">
        <v>0</v>
      </c>
      <c r="G18" s="112">
        <f t="array" ref="G18">SUM(Matrice1*$D$4:$J$4^E18*$C$5:$C$13^F18)</f>
        <v>42</v>
      </c>
      <c r="H18" s="116"/>
      <c r="I18" s="27"/>
      <c r="J18" s="27"/>
      <c r="K18" s="27"/>
      <c r="L18" s="35">
        <v>1</v>
      </c>
      <c r="M18" s="35">
        <v>0</v>
      </c>
      <c r="N18" s="112">
        <f t="array" ref="N18">SUM(Matrice2*$D$4:$J$4^E18*$C$5:$C$13^F18)</f>
        <v>57</v>
      </c>
      <c r="O18" s="116"/>
      <c r="P18" s="27"/>
      <c r="Q18" s="27"/>
      <c r="R18" s="27"/>
      <c r="S18" s="35">
        <v>1</v>
      </c>
      <c r="T18" s="35">
        <v>0</v>
      </c>
      <c r="U18" s="112">
        <f t="array" ref="U18">SUM(Matrice3*$D$4:$J$4^E18*$C$5:$C$13^F18)</f>
        <v>35</v>
      </c>
      <c r="V18" s="116"/>
      <c r="W18" s="27"/>
      <c r="X18" s="27"/>
      <c r="Y18" s="27"/>
      <c r="Z18" s="35">
        <v>1</v>
      </c>
      <c r="AA18" s="35">
        <v>0</v>
      </c>
      <c r="AB18" s="112">
        <f t="array" ref="AB18">SUM(Matrice4*$D$4:$J$4^E18*$C$5:$C$13^F18)</f>
        <v>61</v>
      </c>
      <c r="AC18" s="116"/>
      <c r="AD18" s="27"/>
      <c r="AE18" s="27"/>
      <c r="AF18" s="27"/>
      <c r="AG18" s="35">
        <v>1</v>
      </c>
      <c r="AH18" s="35">
        <v>0</v>
      </c>
      <c r="AI18" s="112">
        <f t="array" ref="AI18">SUM(Matrice5*$D$4:$J$4^E18*$C$5:$C$13^F18)</f>
        <v>82</v>
      </c>
      <c r="AJ18" s="116"/>
      <c r="AK18" s="27"/>
      <c r="AL18" s="27"/>
      <c r="AM18" s="27"/>
      <c r="AN18" s="35">
        <v>1</v>
      </c>
      <c r="AO18" s="35">
        <v>0</v>
      </c>
      <c r="AP18" s="112">
        <f t="array" ref="AP18">SUM(Matrice6*$D$4:$J$4^E18*$C$5:$C$13^F18)</f>
        <v>56</v>
      </c>
      <c r="AQ18" s="116"/>
      <c r="AR18" s="27"/>
      <c r="AS18" s="27"/>
      <c r="AT18" s="27"/>
      <c r="AU18" s="35">
        <v>1</v>
      </c>
      <c r="AV18" s="35">
        <v>0</v>
      </c>
      <c r="AW18" s="112">
        <f t="array" ref="AW18">SUM(Matrice7*$D$4:$J$4^E18*$C$5:$C$13^F18)</f>
        <v>62</v>
      </c>
      <c r="AX18" s="116"/>
      <c r="AY18" s="27"/>
      <c r="AZ18" s="27"/>
      <c r="BA18" s="27"/>
      <c r="BB18" s="35">
        <v>1</v>
      </c>
      <c r="BC18" s="35">
        <v>0</v>
      </c>
      <c r="BD18" s="106">
        <f t="array" ref="BD18">SUM(Matrice8*$D$4:$J$4^E18*$C$5:$C$13^F18)</f>
        <v>94</v>
      </c>
      <c r="BE18" s="107"/>
      <c r="BF18" s="27"/>
      <c r="BG18" s="27"/>
      <c r="BH18" s="27"/>
      <c r="BI18" s="35">
        <v>1</v>
      </c>
      <c r="BJ18" s="35">
        <v>0</v>
      </c>
      <c r="BK18" s="112">
        <f t="array" ref="BK18">SUM(Matrice9*$D$4:$J$4^E18*$C$5:$C$13^F18)</f>
        <v>18</v>
      </c>
      <c r="BL18" s="116"/>
      <c r="BM18" s="27"/>
      <c r="BN18" s="27"/>
      <c r="BO18" s="27"/>
      <c r="BP18" s="35">
        <v>1</v>
      </c>
      <c r="BQ18" s="35">
        <v>0</v>
      </c>
      <c r="BR18" s="112">
        <f t="array" ref="BR18">SUM(Matrice10*$D$4:$J$4^E18*$C$5:$C$13^F18)</f>
        <v>50</v>
      </c>
      <c r="BS18" s="113"/>
    </row>
    <row r="19" spans="2:72" ht="20.100000000000001" hidden="1" customHeight="1" thickBot="1" x14ac:dyDescent="0.3">
      <c r="B19" s="2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6"/>
    </row>
    <row r="20" spans="2:72" ht="20.100000000000001" hidden="1" customHeight="1" thickBot="1" x14ac:dyDescent="0.3">
      <c r="B20" s="38" t="s">
        <v>19</v>
      </c>
      <c r="C20" s="22"/>
      <c r="D20" s="22"/>
      <c r="E20" s="22"/>
      <c r="F20" s="22"/>
      <c r="G20" s="33" t="s">
        <v>8</v>
      </c>
      <c r="H20" s="33"/>
      <c r="I20" s="22"/>
      <c r="J20" s="22"/>
      <c r="K20" s="22"/>
      <c r="L20" s="22"/>
      <c r="M20" s="22"/>
      <c r="N20" s="33" t="s">
        <v>8</v>
      </c>
      <c r="O20" s="33"/>
      <c r="P20" s="22"/>
      <c r="Q20" s="22"/>
      <c r="R20" s="22"/>
      <c r="S20" s="22"/>
      <c r="T20" s="22"/>
      <c r="U20" s="33" t="s">
        <v>8</v>
      </c>
      <c r="V20" s="33"/>
      <c r="W20" s="22"/>
      <c r="X20" s="22"/>
      <c r="Y20" s="22"/>
      <c r="Z20" s="22"/>
      <c r="AA20" s="22"/>
      <c r="AB20" s="33" t="s">
        <v>8</v>
      </c>
      <c r="AC20" s="33"/>
      <c r="AD20" s="22"/>
      <c r="AE20" s="22"/>
      <c r="AF20" s="22"/>
      <c r="AG20" s="22"/>
      <c r="AH20" s="22"/>
      <c r="AI20" s="33" t="s">
        <v>8</v>
      </c>
      <c r="AJ20" s="33"/>
      <c r="AK20" s="22"/>
      <c r="AL20" s="22"/>
      <c r="AM20" s="22"/>
      <c r="AN20" s="22"/>
      <c r="AO20" s="22"/>
      <c r="AP20" s="33" t="s">
        <v>8</v>
      </c>
      <c r="AQ20" s="33"/>
      <c r="AR20" s="22"/>
      <c r="AS20" s="22"/>
      <c r="AT20" s="22"/>
      <c r="AU20" s="22"/>
      <c r="AV20" s="22"/>
      <c r="AW20" s="33" t="s">
        <v>8</v>
      </c>
      <c r="AX20" s="33"/>
      <c r="AY20" s="22"/>
      <c r="AZ20" s="22"/>
      <c r="BA20" s="22"/>
      <c r="BB20" s="22"/>
      <c r="BC20" s="22"/>
      <c r="BD20" s="33" t="s">
        <v>8</v>
      </c>
      <c r="BE20" s="33"/>
      <c r="BF20" s="22"/>
      <c r="BG20" s="22"/>
      <c r="BH20" s="22"/>
      <c r="BI20" s="22"/>
      <c r="BJ20" s="22"/>
      <c r="BK20" s="33" t="s">
        <v>8</v>
      </c>
      <c r="BL20" s="33"/>
      <c r="BM20" s="22"/>
      <c r="BN20" s="22"/>
      <c r="BO20" s="22"/>
      <c r="BP20" s="22"/>
      <c r="BQ20" s="22"/>
      <c r="BR20" s="33" t="s">
        <v>8</v>
      </c>
      <c r="BS20" s="34"/>
    </row>
    <row r="21" spans="2:72" ht="20.100000000000001" hidden="1" customHeight="1" thickBot="1" x14ac:dyDescent="0.3">
      <c r="B21" s="36" t="s">
        <v>6</v>
      </c>
      <c r="C21" s="26"/>
      <c r="D21" s="26"/>
      <c r="E21" s="26"/>
      <c r="F21" s="26"/>
      <c r="G21" s="95">
        <f>G18/G16</f>
        <v>3.5</v>
      </c>
      <c r="H21" s="101"/>
      <c r="I21" s="26"/>
      <c r="J21" s="26"/>
      <c r="K21" s="26"/>
      <c r="L21" s="26"/>
      <c r="M21" s="26"/>
      <c r="N21" s="95">
        <f>N18/N16</f>
        <v>6.333333333333333</v>
      </c>
      <c r="O21" s="101"/>
      <c r="P21" s="26"/>
      <c r="Q21" s="26"/>
      <c r="R21" s="26"/>
      <c r="S21" s="26"/>
      <c r="T21" s="26"/>
      <c r="U21" s="95">
        <f>U18/U16</f>
        <v>3.5</v>
      </c>
      <c r="V21" s="101"/>
      <c r="W21" s="26"/>
      <c r="X21" s="26"/>
      <c r="Y21" s="26"/>
      <c r="Z21" s="26"/>
      <c r="AA21" s="26"/>
      <c r="AB21" s="95">
        <f>AB18/AB16</f>
        <v>3.2105263157894739</v>
      </c>
      <c r="AC21" s="101"/>
      <c r="AD21" s="26"/>
      <c r="AE21" s="26"/>
      <c r="AF21" s="26"/>
      <c r="AG21" s="26"/>
      <c r="AH21" s="26"/>
      <c r="AI21" s="95">
        <f>AI18/AI16</f>
        <v>3.0370370370370372</v>
      </c>
      <c r="AJ21" s="101"/>
      <c r="AK21" s="26"/>
      <c r="AL21" s="26"/>
      <c r="AM21" s="26"/>
      <c r="AN21" s="26"/>
      <c r="AO21" s="26"/>
      <c r="AP21" s="95">
        <f>AP18/AP16</f>
        <v>3.1111111111111112</v>
      </c>
      <c r="AQ21" s="101"/>
      <c r="AR21" s="26"/>
      <c r="AS21" s="26"/>
      <c r="AT21" s="26"/>
      <c r="AU21" s="26"/>
      <c r="AV21" s="26"/>
      <c r="AW21" s="95">
        <f>AW18/AW16</f>
        <v>3.875</v>
      </c>
      <c r="AX21" s="101"/>
      <c r="AY21" s="26"/>
      <c r="AZ21" s="26"/>
      <c r="BA21" s="26"/>
      <c r="BB21" s="26"/>
      <c r="BC21" s="26"/>
      <c r="BD21" s="95">
        <f>BD18/BD16</f>
        <v>4.7</v>
      </c>
      <c r="BE21" s="101"/>
      <c r="BF21" s="26"/>
      <c r="BG21" s="26"/>
      <c r="BH21" s="26"/>
      <c r="BI21" s="26"/>
      <c r="BJ21" s="26"/>
      <c r="BK21" s="95">
        <f>BK18/BK16</f>
        <v>2</v>
      </c>
      <c r="BL21" s="101"/>
      <c r="BM21" s="26"/>
      <c r="BN21" s="26"/>
      <c r="BO21" s="26"/>
      <c r="BP21" s="26"/>
      <c r="BQ21" s="26"/>
      <c r="BR21" s="95">
        <f>BR18/BR16</f>
        <v>3.125</v>
      </c>
      <c r="BS21" s="96"/>
    </row>
    <row r="22" spans="2:72" ht="20.100000000000001" hidden="1" customHeight="1" thickTop="1" thickBot="1" x14ac:dyDescent="0.3">
      <c r="B22" s="37" t="s">
        <v>7</v>
      </c>
      <c r="C22" s="27"/>
      <c r="D22" s="27"/>
      <c r="E22" s="27"/>
      <c r="F22" s="27"/>
      <c r="G22" s="93">
        <f>G17/G16</f>
        <v>3.25</v>
      </c>
      <c r="H22" s="94"/>
      <c r="I22" s="27"/>
      <c r="J22" s="27"/>
      <c r="K22" s="27"/>
      <c r="L22" s="27"/>
      <c r="M22" s="27"/>
      <c r="N22" s="93">
        <f>N17/N16</f>
        <v>3.6666666666666665</v>
      </c>
      <c r="O22" s="94"/>
      <c r="P22" s="27"/>
      <c r="Q22" s="27"/>
      <c r="R22" s="27"/>
      <c r="S22" s="27"/>
      <c r="T22" s="27"/>
      <c r="U22" s="93">
        <f>U17/U16</f>
        <v>4</v>
      </c>
      <c r="V22" s="94"/>
      <c r="W22" s="27"/>
      <c r="X22" s="27"/>
      <c r="Y22" s="27"/>
      <c r="Z22" s="27"/>
      <c r="AA22" s="27"/>
      <c r="AB22" s="93">
        <f>AB17/AB16</f>
        <v>4.8947368421052628</v>
      </c>
      <c r="AC22" s="94"/>
      <c r="AD22" s="27"/>
      <c r="AE22" s="27"/>
      <c r="AF22" s="27"/>
      <c r="AG22" s="27"/>
      <c r="AH22" s="27"/>
      <c r="AI22" s="93">
        <f>AI17/AI16</f>
        <v>4.9629629629629628</v>
      </c>
      <c r="AJ22" s="94"/>
      <c r="AK22" s="27"/>
      <c r="AL22" s="27"/>
      <c r="AM22" s="27"/>
      <c r="AN22" s="27"/>
      <c r="AO22" s="27"/>
      <c r="AP22" s="93">
        <f>AP17/AP16</f>
        <v>5</v>
      </c>
      <c r="AQ22" s="94"/>
      <c r="AR22" s="27"/>
      <c r="AS22" s="27"/>
      <c r="AT22" s="27"/>
      <c r="AU22" s="27"/>
      <c r="AV22" s="27"/>
      <c r="AW22" s="93">
        <f>AW17/AW16</f>
        <v>5.25</v>
      </c>
      <c r="AX22" s="94"/>
      <c r="AY22" s="27"/>
      <c r="AZ22" s="27"/>
      <c r="BA22" s="27"/>
      <c r="BB22" s="27"/>
      <c r="BC22" s="27"/>
      <c r="BD22" s="93">
        <f>BD17/BD16</f>
        <v>5.7</v>
      </c>
      <c r="BE22" s="94"/>
      <c r="BF22" s="27"/>
      <c r="BG22" s="27"/>
      <c r="BH22" s="27"/>
      <c r="BI22" s="27"/>
      <c r="BJ22" s="27"/>
      <c r="BK22" s="93">
        <f>BK17/BK16</f>
        <v>5</v>
      </c>
      <c r="BL22" s="94"/>
      <c r="BM22" s="27"/>
      <c r="BN22" s="27"/>
      <c r="BO22" s="27"/>
      <c r="BP22" s="27"/>
      <c r="BQ22" s="27"/>
      <c r="BR22" s="93">
        <f>BR17/BR16</f>
        <v>5</v>
      </c>
      <c r="BS22" s="97"/>
    </row>
    <row r="23" spans="2:72" ht="20.100000000000001" hidden="1" customHeight="1" thickBot="1" x14ac:dyDescent="0.3"/>
    <row r="24" spans="2:72" ht="20.100000000000001" hidden="1" customHeight="1" thickBot="1" x14ac:dyDescent="0.3">
      <c r="B24" s="42" t="s">
        <v>27</v>
      </c>
      <c r="C24" s="22"/>
      <c r="D24" s="22"/>
      <c r="E24" s="33" t="s">
        <v>9</v>
      </c>
      <c r="F24" s="33" t="s">
        <v>10</v>
      </c>
      <c r="G24" s="33" t="s">
        <v>8</v>
      </c>
      <c r="H24" s="33"/>
      <c r="I24" s="22"/>
      <c r="J24" s="22"/>
      <c r="K24" s="22"/>
      <c r="L24" s="33" t="s">
        <v>9</v>
      </c>
      <c r="M24" s="33" t="s">
        <v>10</v>
      </c>
      <c r="N24" s="33" t="s">
        <v>8</v>
      </c>
      <c r="O24" s="33"/>
      <c r="P24" s="22"/>
      <c r="Q24" s="22"/>
      <c r="R24" s="22"/>
      <c r="S24" s="33" t="s">
        <v>9</v>
      </c>
      <c r="T24" s="33" t="s">
        <v>10</v>
      </c>
      <c r="U24" s="33" t="s">
        <v>8</v>
      </c>
      <c r="V24" s="33"/>
      <c r="W24" s="22"/>
      <c r="X24" s="22"/>
      <c r="Y24" s="22"/>
      <c r="Z24" s="33" t="s">
        <v>9</v>
      </c>
      <c r="AA24" s="33" t="s">
        <v>10</v>
      </c>
      <c r="AB24" s="33" t="s">
        <v>8</v>
      </c>
      <c r="AC24" s="33"/>
      <c r="AD24" s="22"/>
      <c r="AE24" s="22"/>
      <c r="AF24" s="22"/>
      <c r="AG24" s="33" t="s">
        <v>9</v>
      </c>
      <c r="AH24" s="33" t="s">
        <v>10</v>
      </c>
      <c r="AI24" s="33" t="s">
        <v>8</v>
      </c>
      <c r="AJ24" s="33"/>
      <c r="AK24" s="22"/>
      <c r="AL24" s="22"/>
      <c r="AM24" s="22"/>
      <c r="AN24" s="33" t="s">
        <v>9</v>
      </c>
      <c r="AO24" s="33" t="s">
        <v>10</v>
      </c>
      <c r="AP24" s="33" t="s">
        <v>8</v>
      </c>
      <c r="AQ24" s="33"/>
      <c r="AR24" s="22"/>
      <c r="AS24" s="22"/>
      <c r="AT24" s="22"/>
      <c r="AU24" s="33" t="s">
        <v>9</v>
      </c>
      <c r="AV24" s="33" t="s">
        <v>10</v>
      </c>
      <c r="AW24" s="33" t="s">
        <v>8</v>
      </c>
      <c r="AX24" s="33"/>
      <c r="AY24" s="22"/>
      <c r="AZ24" s="22"/>
      <c r="BA24" s="22"/>
      <c r="BB24" s="33" t="s">
        <v>9</v>
      </c>
      <c r="BC24" s="33" t="s">
        <v>10</v>
      </c>
      <c r="BD24" s="33" t="s">
        <v>8</v>
      </c>
      <c r="BE24" s="33"/>
      <c r="BF24" s="22"/>
      <c r="BG24" s="22"/>
      <c r="BH24" s="22"/>
      <c r="BI24" s="33" t="s">
        <v>9</v>
      </c>
      <c r="BJ24" s="33" t="s">
        <v>10</v>
      </c>
      <c r="BK24" s="33" t="s">
        <v>8</v>
      </c>
      <c r="BL24" s="33"/>
      <c r="BM24" s="22"/>
      <c r="BN24" s="22"/>
      <c r="BO24" s="22"/>
      <c r="BP24" s="33" t="s">
        <v>9</v>
      </c>
      <c r="BQ24" s="33" t="s">
        <v>10</v>
      </c>
      <c r="BR24" s="33" t="s">
        <v>8</v>
      </c>
      <c r="BS24" s="34"/>
    </row>
    <row r="25" spans="2:72" ht="20.100000000000001" hidden="1" customHeight="1" thickBot="1" x14ac:dyDescent="0.3">
      <c r="B25" s="43" t="s">
        <v>11</v>
      </c>
      <c r="C25" s="26"/>
      <c r="D25" s="26"/>
      <c r="E25" s="41">
        <v>0</v>
      </c>
      <c r="F25" s="41">
        <v>0</v>
      </c>
      <c r="G25" s="95">
        <f t="array" ref="G25">SUM(Matrice1*IFERROR(($D$4:$J$4-$G$21)^E25,1)*IFERROR(($C$5:$C$13-$G$22)^F25,1))</f>
        <v>12</v>
      </c>
      <c r="H25" s="101"/>
      <c r="I25" s="26"/>
      <c r="J25" s="26"/>
      <c r="K25" s="26"/>
      <c r="L25" s="41">
        <v>0</v>
      </c>
      <c r="M25" s="41">
        <v>0</v>
      </c>
      <c r="N25" s="95">
        <f t="array" ref="N25">SUM(Matrice2*IFERROR(($D$4:$J$4-$N$21)^L25,1)*IFERROR(($C$5:$C$13-$N$22)^M25,1))</f>
        <v>9</v>
      </c>
      <c r="O25" s="101"/>
      <c r="P25" s="26"/>
      <c r="Q25" s="26"/>
      <c r="R25" s="26"/>
      <c r="S25" s="41">
        <v>0</v>
      </c>
      <c r="T25" s="41">
        <v>0</v>
      </c>
      <c r="U25" s="95">
        <f t="array" ref="U25">SUM(Matrice3*IFERROR(($D$4:$J$4-$U$21)^S25,1)*IFERROR(($C$5:$C$13-$U$22)^T25,1))</f>
        <v>10</v>
      </c>
      <c r="V25" s="101"/>
      <c r="W25" s="26"/>
      <c r="X25" s="26"/>
      <c r="Y25" s="26"/>
      <c r="Z25" s="41">
        <v>0</v>
      </c>
      <c r="AA25" s="41">
        <v>0</v>
      </c>
      <c r="AB25" s="95">
        <f t="array" ref="AB25">SUM(Matrice4*IFERROR(($D$4:$J$4-$AB$21)^Z25,1)*IFERROR(($C$5:$C$13-$AB$22)^AA25,1))</f>
        <v>19</v>
      </c>
      <c r="AC25" s="101"/>
      <c r="AD25" s="26"/>
      <c r="AE25" s="26"/>
      <c r="AF25" s="26"/>
      <c r="AG25" s="41">
        <v>0</v>
      </c>
      <c r="AH25" s="41">
        <v>0</v>
      </c>
      <c r="AI25" s="95">
        <f t="array" ref="AI25">SUM(Matrice5*IFERROR(($D$4:$J$4-$AI$21)^AG25,1)*IFERROR(($C$5:$C$13-$AI$22)^AH25,1))</f>
        <v>27</v>
      </c>
      <c r="AJ25" s="101"/>
      <c r="AK25" s="26"/>
      <c r="AL25" s="26"/>
      <c r="AM25" s="26"/>
      <c r="AN25" s="41">
        <v>0</v>
      </c>
      <c r="AO25" s="41">
        <v>0</v>
      </c>
      <c r="AP25" s="95">
        <f t="array" ref="AP25">SUM(Matrice6*IFERROR(($D$4:$J$4-$AP$21)^AN25,1)*IFERROR(($C$5:$C$13-$AP$22)^AO25,1))</f>
        <v>18</v>
      </c>
      <c r="AQ25" s="101"/>
      <c r="AR25" s="26"/>
      <c r="AS25" s="26"/>
      <c r="AT25" s="26"/>
      <c r="AU25" s="41">
        <v>0</v>
      </c>
      <c r="AV25" s="41">
        <v>0</v>
      </c>
      <c r="AW25" s="95">
        <f t="array" ref="AW25">SUM(Matrice7*IFERROR(($D$4:$J$4-$AW$21)^AU25,1)*IFERROR(($C$5:$C$13-$AW$22)^AV25,1))</f>
        <v>16</v>
      </c>
      <c r="AX25" s="101"/>
      <c r="AY25" s="26"/>
      <c r="AZ25" s="26"/>
      <c r="BA25" s="26"/>
      <c r="BB25" s="41">
        <v>0</v>
      </c>
      <c r="BC25" s="41">
        <v>0</v>
      </c>
      <c r="BD25" s="102">
        <f t="array" ref="BD25">SUM(Matrice8*IFERROR(($D$4:$J$4-$BD$21)^BB25,1)*IFERROR(($C$5:$C$13-$BD$22)^BC25,1))</f>
        <v>20</v>
      </c>
      <c r="BE25" s="103"/>
      <c r="BF25" s="26"/>
      <c r="BG25" s="26"/>
      <c r="BH25" s="26"/>
      <c r="BI25" s="41">
        <v>0</v>
      </c>
      <c r="BJ25" s="41">
        <v>0</v>
      </c>
      <c r="BK25" s="95">
        <f t="array" ref="BK25">SUM(Matrice9*IFERROR(($D$4:$J$4-$BK$21)^BI25,1)*IFERROR(($C$5:$C$13-$BK$22)^BJ25,1))</f>
        <v>9</v>
      </c>
      <c r="BL25" s="101"/>
      <c r="BM25" s="26"/>
      <c r="BN25" s="26"/>
      <c r="BO25" s="26"/>
      <c r="BP25" s="41">
        <v>0</v>
      </c>
      <c r="BQ25" s="41">
        <v>0</v>
      </c>
      <c r="BR25" s="95">
        <f t="array" ref="BR25">SUM(Matrice10*IFERROR(($D$4:$J$4-$BR$21)^BP25,1)*IFERROR(($C$5:$C$13-$BR$22)^BQ25,1))</f>
        <v>16</v>
      </c>
      <c r="BS25" s="96"/>
    </row>
    <row r="26" spans="2:72" ht="20.100000000000001" hidden="1" customHeight="1" thickTop="1" thickBot="1" x14ac:dyDescent="0.3">
      <c r="B26" s="43" t="s">
        <v>12</v>
      </c>
      <c r="C26" s="26"/>
      <c r="D26" s="26"/>
      <c r="E26" s="39">
        <v>2</v>
      </c>
      <c r="F26" s="39">
        <v>0</v>
      </c>
      <c r="G26" s="98">
        <f t="array" ref="G26">SUM(Matrice1*IFERROR(($D$4:$J$4-$G$21)^E26,1)*IFERROR(($C$5:$C$13-$G$22)^F26,1))</f>
        <v>35</v>
      </c>
      <c r="H26" s="100"/>
      <c r="I26" s="26"/>
      <c r="J26" s="26"/>
      <c r="K26" s="26"/>
      <c r="L26" s="39">
        <v>2</v>
      </c>
      <c r="M26" s="39">
        <v>0</v>
      </c>
      <c r="N26" s="98">
        <f t="array" ref="N26">SUM(Matrice2*IFERROR(($D$4:$J$4-$N$21)^L26,1)*IFERROR(($C$5:$C$13-$N$22)^M26,1))</f>
        <v>9.9999999999999982</v>
      </c>
      <c r="O26" s="100"/>
      <c r="P26" s="26"/>
      <c r="Q26" s="26"/>
      <c r="R26" s="26"/>
      <c r="S26" s="39">
        <v>2</v>
      </c>
      <c r="T26" s="39">
        <v>0</v>
      </c>
      <c r="U26" s="98">
        <f t="array" ref="U26">SUM(Matrice3*IFERROR(($D$4:$J$4-$U$21)^S26,1)*IFERROR(($C$5:$C$13-$U$22)^T26,1))</f>
        <v>10.5</v>
      </c>
      <c r="V26" s="100"/>
      <c r="W26" s="26"/>
      <c r="X26" s="26"/>
      <c r="Y26" s="26"/>
      <c r="Z26" s="39">
        <v>2</v>
      </c>
      <c r="AA26" s="39">
        <v>0</v>
      </c>
      <c r="AB26" s="98">
        <f t="array" ref="AB26">SUM(Matrice4*IFERROR(($D$4:$J$4-$AB$21)^Z26,1)*IFERROR(($C$5:$C$13-$AB$22)^AA26,1))</f>
        <v>45.15789473684211</v>
      </c>
      <c r="AC26" s="100"/>
      <c r="AD26" s="26"/>
      <c r="AE26" s="26"/>
      <c r="AF26" s="26"/>
      <c r="AG26" s="39">
        <v>2</v>
      </c>
      <c r="AH26" s="39">
        <v>0</v>
      </c>
      <c r="AI26" s="98">
        <f t="array" ref="AI26">SUM(Matrice5*IFERROR(($D$4:$J$4-$AI$21)^AG26,1)*IFERROR(($C$5:$C$13-$AI$22)^AH26,1))</f>
        <v>74.962962962962976</v>
      </c>
      <c r="AJ26" s="100"/>
      <c r="AK26" s="26"/>
      <c r="AL26" s="26"/>
      <c r="AM26" s="26"/>
      <c r="AN26" s="39">
        <v>2</v>
      </c>
      <c r="AO26" s="39">
        <v>0</v>
      </c>
      <c r="AP26" s="98">
        <f t="array" ref="AP26">SUM(Matrice6*IFERROR(($D$4:$J$4-$AP$21)^AN26,1)*IFERROR(($C$5:$C$13-$AP$22)^AO26,1))</f>
        <v>45.777777777777786</v>
      </c>
      <c r="AQ26" s="100"/>
      <c r="AR26" s="26"/>
      <c r="AS26" s="26"/>
      <c r="AT26" s="26"/>
      <c r="AU26" s="39">
        <v>2</v>
      </c>
      <c r="AV26" s="39">
        <v>0</v>
      </c>
      <c r="AW26" s="98">
        <f t="array" ref="AW26">SUM(Matrice7*IFERROR(($D$4:$J$4-$AW$21)^AU26,1)*IFERROR(($C$5:$C$13-$AW$22)^AV26,1))</f>
        <v>33.75</v>
      </c>
      <c r="AX26" s="100"/>
      <c r="AY26" s="26"/>
      <c r="AZ26" s="26"/>
      <c r="BA26" s="26"/>
      <c r="BB26" s="39">
        <v>2</v>
      </c>
      <c r="BC26" s="39">
        <v>0</v>
      </c>
      <c r="BD26" s="104">
        <f t="array" ref="BD26">SUM(Matrice8*IFERROR(($D$4:$J$4-$BD$21)^BB26,1)*IFERROR(($C$5:$C$13-$BD$22)^BC26,1))</f>
        <v>48.2</v>
      </c>
      <c r="BE26" s="105"/>
      <c r="BF26" s="26"/>
      <c r="BG26" s="26"/>
      <c r="BH26" s="26"/>
      <c r="BI26" s="39">
        <v>2</v>
      </c>
      <c r="BJ26" s="39">
        <v>0</v>
      </c>
      <c r="BK26" s="98">
        <f t="array" ref="BK26">SUM(Matrice9*IFERROR(($D$4:$J$4-$BK$21)^BI26,1)*IFERROR(($C$5:$C$13-$BK$22)^BJ26,1))</f>
        <v>0</v>
      </c>
      <c r="BL26" s="100"/>
      <c r="BM26" s="26"/>
      <c r="BN26" s="26"/>
      <c r="BO26" s="26"/>
      <c r="BP26" s="39">
        <v>2</v>
      </c>
      <c r="BQ26" s="39">
        <v>0</v>
      </c>
      <c r="BR26" s="98">
        <f t="array" ref="BR26">SUM(Matrice10*IFERROR(($D$4:$J$4-$BR$21)^BP26,1)*IFERROR(($C$5:$C$13-$BR$22)^BQ26,1))</f>
        <v>21.75</v>
      </c>
      <c r="BS26" s="99"/>
    </row>
    <row r="27" spans="2:72" ht="20.100000000000001" hidden="1" customHeight="1" thickTop="1" thickBot="1" x14ac:dyDescent="0.3">
      <c r="B27" s="43" t="s">
        <v>13</v>
      </c>
      <c r="C27" s="26"/>
      <c r="D27" s="26"/>
      <c r="E27" s="39">
        <v>0</v>
      </c>
      <c r="F27" s="39">
        <v>2</v>
      </c>
      <c r="G27" s="98">
        <f t="array" ref="G27">SUM(Matrice1*IFERROR(($D$4:$J$4-$G$21)^E27,1)*IFERROR(($C$5:$C$13-$G$22)^F27,1))</f>
        <v>26.25</v>
      </c>
      <c r="H27" s="100"/>
      <c r="I27" s="26"/>
      <c r="J27" s="26"/>
      <c r="K27" s="26"/>
      <c r="L27" s="39">
        <v>0</v>
      </c>
      <c r="M27" s="39">
        <v>2</v>
      </c>
      <c r="N27" s="98">
        <f t="array" ref="N27">SUM(Matrice2*IFERROR(($D$4:$J$4-$N$21)^L27,1)*IFERROR(($C$5:$C$13-$N$22)^M27,1))</f>
        <v>60</v>
      </c>
      <c r="O27" s="100"/>
      <c r="P27" s="26"/>
      <c r="Q27" s="26"/>
      <c r="R27" s="26"/>
      <c r="S27" s="39">
        <v>0</v>
      </c>
      <c r="T27" s="39">
        <v>2</v>
      </c>
      <c r="U27" s="98">
        <f t="array" ref="U27">SUM(Matrice3*IFERROR(($D$4:$J$4-$U$21)^S27,1)*IFERROR(($C$5:$C$13-$U$22)^T27,1))</f>
        <v>46</v>
      </c>
      <c r="V27" s="100"/>
      <c r="W27" s="26"/>
      <c r="X27" s="26"/>
      <c r="Y27" s="26"/>
      <c r="Z27" s="39">
        <v>0</v>
      </c>
      <c r="AA27" s="39">
        <v>2</v>
      </c>
      <c r="AB27" s="98">
        <f t="array" ref="AB27">SUM(Matrice4*IFERROR(($D$4:$J$4-$AB$21)^Z27,1)*IFERROR(($C$5:$C$13-$AB$22)^AA27,1))</f>
        <v>153.78947368421055</v>
      </c>
      <c r="AC27" s="100"/>
      <c r="AD27" s="26"/>
      <c r="AE27" s="26"/>
      <c r="AF27" s="26"/>
      <c r="AG27" s="39">
        <v>0</v>
      </c>
      <c r="AH27" s="39">
        <v>2</v>
      </c>
      <c r="AI27" s="98">
        <f t="array" ref="AI27">SUM(Matrice5*IFERROR(($D$4:$J$4-$AI$21)^AG27,1)*IFERROR(($C$5:$C$13-$AI$22)^AH27,1))</f>
        <v>208.96296296296291</v>
      </c>
      <c r="AJ27" s="100"/>
      <c r="AK27" s="26"/>
      <c r="AL27" s="26"/>
      <c r="AM27" s="26"/>
      <c r="AN27" s="39">
        <v>0</v>
      </c>
      <c r="AO27" s="39">
        <v>2</v>
      </c>
      <c r="AP27" s="98">
        <f t="array" ref="AP27">SUM(Matrice6*IFERROR(($D$4:$J$4-$AP$21)^AN27,1)*IFERROR(($C$5:$C$13-$AP$22)^AO27,1))</f>
        <v>152</v>
      </c>
      <c r="AQ27" s="100"/>
      <c r="AR27" s="26"/>
      <c r="AS27" s="26"/>
      <c r="AT27" s="26"/>
      <c r="AU27" s="39">
        <v>0</v>
      </c>
      <c r="AV27" s="39">
        <v>2</v>
      </c>
      <c r="AW27" s="98">
        <f t="array" ref="AW27">SUM(Matrice7*IFERROR(($D$4:$J$4-$AW$21)^AU27,1)*IFERROR(($C$5:$C$13-$AW$22)^AV27,1))</f>
        <v>139</v>
      </c>
      <c r="AX27" s="100"/>
      <c r="AY27" s="26"/>
      <c r="AZ27" s="26"/>
      <c r="BA27" s="26"/>
      <c r="BB27" s="39">
        <v>0</v>
      </c>
      <c r="BC27" s="39">
        <v>2</v>
      </c>
      <c r="BD27" s="104">
        <f t="array" ref="BD27">SUM(Matrice8*IFERROR(($D$4:$J$4-$BD$21)^BB27,1)*IFERROR(($C$5:$C$13-$BD$22)^BC27,1))</f>
        <v>160.19999999999996</v>
      </c>
      <c r="BE27" s="105"/>
      <c r="BF27" s="26"/>
      <c r="BG27" s="26"/>
      <c r="BH27" s="26"/>
      <c r="BI27" s="39">
        <v>0</v>
      </c>
      <c r="BJ27" s="39">
        <v>2</v>
      </c>
      <c r="BK27" s="98">
        <f t="array" ref="BK27">SUM(Matrice9*IFERROR(($D$4:$J$4-$BK$21)^BI27,1)*IFERROR(($C$5:$C$13-$BK$22)^BJ27,1))</f>
        <v>60</v>
      </c>
      <c r="BL27" s="100"/>
      <c r="BM27" s="26"/>
      <c r="BN27" s="26"/>
      <c r="BO27" s="26"/>
      <c r="BP27" s="39">
        <v>0</v>
      </c>
      <c r="BQ27" s="39">
        <v>2</v>
      </c>
      <c r="BR27" s="98">
        <f t="array" ref="BR27">SUM(Matrice10*IFERROR(($D$4:$J$4-$BR$21)^BP27,1)*IFERROR(($C$5:$C$13-$BR$22)^BQ27,1))</f>
        <v>124</v>
      </c>
      <c r="BS27" s="99"/>
    </row>
    <row r="28" spans="2:72" ht="20.100000000000001" hidden="1" customHeight="1" thickTop="1" thickBot="1" x14ac:dyDescent="0.3">
      <c r="B28" s="43" t="s">
        <v>14</v>
      </c>
      <c r="C28" s="26"/>
      <c r="D28" s="26"/>
      <c r="E28" s="39">
        <v>1</v>
      </c>
      <c r="F28" s="39">
        <v>1</v>
      </c>
      <c r="G28" s="98">
        <f t="array" ref="G28">SUM(Matrice1*IFERROR(($D$4:$J$4-$G$21)^E28,1)*IFERROR(($C$5:$C$13-$G$22)^F28,1))</f>
        <v>10.5</v>
      </c>
      <c r="H28" s="100"/>
      <c r="I28" s="26"/>
      <c r="J28" s="26"/>
      <c r="K28" s="26"/>
      <c r="L28" s="39">
        <v>1</v>
      </c>
      <c r="M28" s="39">
        <v>1</v>
      </c>
      <c r="N28" s="98">
        <f t="array" ref="N28">SUM(Matrice2*IFERROR(($D$4:$J$4-$N$21)^L28,1)*IFERROR(($C$5:$C$13-$N$22)^M28,1))</f>
        <v>16</v>
      </c>
      <c r="O28" s="100"/>
      <c r="P28" s="26"/>
      <c r="Q28" s="26"/>
      <c r="R28" s="26"/>
      <c r="S28" s="39">
        <v>1</v>
      </c>
      <c r="T28" s="39">
        <v>1</v>
      </c>
      <c r="U28" s="98">
        <f t="array" ref="U28">SUM(Matrice3*IFERROR(($D$4:$J$4-$U$21)^S28,1)*IFERROR(($C$5:$C$13-$U$22)^T28,1))</f>
        <v>-9</v>
      </c>
      <c r="V28" s="100"/>
      <c r="W28" s="26"/>
      <c r="X28" s="26"/>
      <c r="Y28" s="26"/>
      <c r="Z28" s="39">
        <v>1</v>
      </c>
      <c r="AA28" s="39">
        <v>1</v>
      </c>
      <c r="AB28" s="98">
        <f t="array" ref="AB28">SUM(Matrice4*IFERROR(($D$4:$J$4-$AB$21)^Z28,1)*IFERROR(($C$5:$C$13-$AB$22)^AA28,1))</f>
        <v>8.4210526315789487</v>
      </c>
      <c r="AC28" s="100"/>
      <c r="AD28" s="26"/>
      <c r="AE28" s="26"/>
      <c r="AF28" s="26"/>
      <c r="AG28" s="39">
        <v>1</v>
      </c>
      <c r="AH28" s="39">
        <v>1</v>
      </c>
      <c r="AI28" s="98">
        <f t="array" ref="AI28">SUM(Matrice5*IFERROR(($D$4:$J$4-$AI$21)^AG28,1)*IFERROR(($C$5:$C$13-$AI$22)^AH28,1))</f>
        <v>5.0370370370370345</v>
      </c>
      <c r="AJ28" s="100"/>
      <c r="AK28" s="26"/>
      <c r="AL28" s="26"/>
      <c r="AM28" s="26"/>
      <c r="AN28" s="39">
        <v>1</v>
      </c>
      <c r="AO28" s="39">
        <v>1</v>
      </c>
      <c r="AP28" s="98">
        <f t="array" ref="AP28">SUM(Matrice6*IFERROR(($D$4:$J$4-$AP$21)^AN28,1)*IFERROR(($C$5:$C$13-$AP$22)^AO28,1))</f>
        <v>-5</v>
      </c>
      <c r="AQ28" s="100"/>
      <c r="AR28" s="26"/>
      <c r="AS28" s="26"/>
      <c r="AT28" s="26"/>
      <c r="AU28" s="39">
        <v>1</v>
      </c>
      <c r="AV28" s="39">
        <v>1</v>
      </c>
      <c r="AW28" s="98">
        <f t="array" ref="AW28">SUM(Matrice7*IFERROR(($D$4:$J$4-$AW$21)^AU28,1)*IFERROR(($C$5:$C$13-$AW$22)^AV28,1))</f>
        <v>16.5</v>
      </c>
      <c r="AX28" s="100"/>
      <c r="AY28" s="26"/>
      <c r="AZ28" s="26"/>
      <c r="BA28" s="26"/>
      <c r="BB28" s="39">
        <v>1</v>
      </c>
      <c r="BC28" s="39">
        <v>1</v>
      </c>
      <c r="BD28" s="104">
        <f t="array" ref="BD28">SUM(Matrice8*IFERROR(($D$4:$J$4-$BD$21)^BB28,1)*IFERROR(($C$5:$C$13-$BD$22)^BC28,1))</f>
        <v>16.2</v>
      </c>
      <c r="BE28" s="105"/>
      <c r="BF28" s="26"/>
      <c r="BG28" s="26"/>
      <c r="BH28" s="26"/>
      <c r="BI28" s="39">
        <v>1</v>
      </c>
      <c r="BJ28" s="39">
        <v>1</v>
      </c>
      <c r="BK28" s="98">
        <f t="array" ref="BK28">SUM(Matrice9*IFERROR(($D$4:$J$4-$BK$21)^BI28,1)*IFERROR(($C$5:$C$13-$BK$22)^BJ28,1))</f>
        <v>0</v>
      </c>
      <c r="BL28" s="100"/>
      <c r="BM28" s="26"/>
      <c r="BN28" s="26"/>
      <c r="BO28" s="26"/>
      <c r="BP28" s="39">
        <v>1</v>
      </c>
      <c r="BQ28" s="39">
        <v>1</v>
      </c>
      <c r="BR28" s="98">
        <f t="array" ref="BR28">SUM(Matrice10*IFERROR(($D$4:$J$4-$BR$21)^BP28,1)*IFERROR(($C$5:$C$13-$BR$22)^BQ28,1))</f>
        <v>0</v>
      </c>
      <c r="BS28" s="99"/>
    </row>
    <row r="29" spans="2:72" ht="20.100000000000001" hidden="1" customHeight="1" thickTop="1" thickBot="1" x14ac:dyDescent="0.3">
      <c r="B29" s="43" t="s">
        <v>15</v>
      </c>
      <c r="C29" s="26"/>
      <c r="D29" s="26"/>
      <c r="E29" s="39">
        <v>3</v>
      </c>
      <c r="F29" s="39">
        <v>0</v>
      </c>
      <c r="G29" s="98">
        <f t="array" ref="G29">SUM(Matrice1*IFERROR(($D$4:$J$4-$G$21)^E29,1)*IFERROR(($C$5:$C$13-$G$22)^F29,1))</f>
        <v>-30</v>
      </c>
      <c r="H29" s="100"/>
      <c r="I29" s="26"/>
      <c r="J29" s="26"/>
      <c r="K29" s="26"/>
      <c r="L29" s="39">
        <v>3</v>
      </c>
      <c r="M29" s="39">
        <v>0</v>
      </c>
      <c r="N29" s="98">
        <f t="array" ref="N29">SUM(Matrice2*IFERROR(($D$4:$J$4-$N$21)^L29,1)*IFERROR(($C$5:$C$13-$N$22)^M29,1))</f>
        <v>-13.333333333333318</v>
      </c>
      <c r="O29" s="100"/>
      <c r="P29" s="26"/>
      <c r="Q29" s="26"/>
      <c r="R29" s="26"/>
      <c r="S29" s="39">
        <v>3</v>
      </c>
      <c r="T29" s="39">
        <v>0</v>
      </c>
      <c r="U29" s="98">
        <f t="array" ref="U29">SUM(Matrice3*IFERROR(($D$4:$J$4-$U$21)^S29,1)*IFERROR(($C$5:$C$13-$U$22)^T29,1))</f>
        <v>0</v>
      </c>
      <c r="V29" s="100"/>
      <c r="W29" s="26"/>
      <c r="X29" s="26"/>
      <c r="Y29" s="26"/>
      <c r="Z29" s="39">
        <v>3</v>
      </c>
      <c r="AA29" s="39">
        <v>0</v>
      </c>
      <c r="AB29" s="98">
        <f t="array" ref="AB29">SUM(Matrice4*IFERROR(($D$4:$J$4-$AB$21)^Z29,1)*IFERROR(($C$5:$C$13-$AB$22)^AA29,1))</f>
        <v>-12.698060941828288</v>
      </c>
      <c r="AC29" s="100"/>
      <c r="AD29" s="26"/>
      <c r="AE29" s="26"/>
      <c r="AF29" s="26"/>
      <c r="AG29" s="39">
        <v>3</v>
      </c>
      <c r="AH29" s="39">
        <v>0</v>
      </c>
      <c r="AI29" s="98">
        <f t="array" ref="AI29">SUM(Matrice5*IFERROR(($D$4:$J$4-$AI$21)^AG29,1)*IFERROR(($C$5:$C$13-$AI$22)^AH29,1))</f>
        <v>-1.3305898491084083</v>
      </c>
      <c r="AJ29" s="100"/>
      <c r="AK29" s="26"/>
      <c r="AL29" s="26"/>
      <c r="AM29" s="26"/>
      <c r="AN29" s="39">
        <v>3</v>
      </c>
      <c r="AO29" s="39">
        <v>0</v>
      </c>
      <c r="AP29" s="98">
        <f t="array" ref="AP29">SUM(Matrice6*IFERROR(($D$4:$J$4-$AP$21)^AN29,1)*IFERROR(($C$5:$C$13-$AP$22)^AO29,1))</f>
        <v>-1.2839506172839568</v>
      </c>
      <c r="AQ29" s="100"/>
      <c r="AR29" s="26"/>
      <c r="AS29" s="26"/>
      <c r="AT29" s="26"/>
      <c r="AU29" s="39">
        <v>3</v>
      </c>
      <c r="AV29" s="39">
        <v>0</v>
      </c>
      <c r="AW29" s="98">
        <f t="array" ref="AW29">SUM(Matrice7*IFERROR(($D$4:$J$4-$AW$21)^AU29,1)*IFERROR(($C$5:$C$13-$AW$22)^AV29,1))</f>
        <v>4.6875</v>
      </c>
      <c r="AX29" s="100"/>
      <c r="AY29" s="26"/>
      <c r="AZ29" s="26"/>
      <c r="BA29" s="26"/>
      <c r="BB29" s="39">
        <v>3</v>
      </c>
      <c r="BC29" s="39">
        <v>0</v>
      </c>
      <c r="BD29" s="104">
        <f t="array" ref="BD29">SUM(Matrice8*IFERROR(($D$4:$J$4-$BD$21)^BB29,1)*IFERROR(($C$5:$C$13-$BD$22)^BC29,1))</f>
        <v>19.919999999999973</v>
      </c>
      <c r="BE29" s="105"/>
      <c r="BF29" s="26"/>
      <c r="BG29" s="26"/>
      <c r="BH29" s="26"/>
      <c r="BI29" s="39">
        <v>3</v>
      </c>
      <c r="BJ29" s="39">
        <v>0</v>
      </c>
      <c r="BK29" s="98">
        <f t="array" ref="BK29">SUM(Matrice9*IFERROR(($D$4:$J$4-$BK$21)^BI29,1)*IFERROR(($C$5:$C$13-$BK$22)^BJ29,1))</f>
        <v>0</v>
      </c>
      <c r="BL29" s="100"/>
      <c r="BM29" s="26"/>
      <c r="BN29" s="26"/>
      <c r="BO29" s="26"/>
      <c r="BP29" s="39">
        <v>3</v>
      </c>
      <c r="BQ29" s="39">
        <v>0</v>
      </c>
      <c r="BR29" s="98">
        <f t="array" ref="BR29">SUM(Matrice10*IFERROR(($D$4:$J$4-$BR$21)^BP29,1)*IFERROR(($C$5:$C$13-$BR$22)^BQ29,1))</f>
        <v>11.8125</v>
      </c>
      <c r="BS29" s="99"/>
    </row>
    <row r="30" spans="2:72" ht="20.100000000000001" hidden="1" customHeight="1" thickTop="1" thickBot="1" x14ac:dyDescent="0.3">
      <c r="B30" s="43" t="s">
        <v>16</v>
      </c>
      <c r="C30" s="26"/>
      <c r="D30" s="26"/>
      <c r="E30" s="39">
        <v>0</v>
      </c>
      <c r="F30" s="39">
        <v>3</v>
      </c>
      <c r="G30" s="98">
        <f t="array" ref="G30">SUM(Matrice1*IFERROR(($D$4:$J$4-$G$21)^E30,1)*IFERROR(($C$5:$C$13-$G$22)^F30,1))</f>
        <v>1.125</v>
      </c>
      <c r="H30" s="100"/>
      <c r="I30" s="26"/>
      <c r="J30" s="26"/>
      <c r="K30" s="26"/>
      <c r="L30" s="39">
        <v>0</v>
      </c>
      <c r="M30" s="39">
        <v>3</v>
      </c>
      <c r="N30" s="98">
        <f t="array" ref="N30">SUM(Matrice2*IFERROR(($D$4:$J$4-$N$21)^L30,1)*IFERROR(($C$5:$C$13-$N$22)^M30,1))</f>
        <v>69.333333333333371</v>
      </c>
      <c r="O30" s="100"/>
      <c r="P30" s="26"/>
      <c r="Q30" s="26"/>
      <c r="R30" s="26"/>
      <c r="S30" s="39">
        <v>0</v>
      </c>
      <c r="T30" s="39">
        <v>3</v>
      </c>
      <c r="U30" s="98">
        <f t="array" ref="U30">SUM(Matrice3*IFERROR(($D$4:$J$4-$U$21)^S30,1)*IFERROR(($C$5:$C$13-$U$22)^T30,1))</f>
        <v>0</v>
      </c>
      <c r="V30" s="100"/>
      <c r="W30" s="26"/>
      <c r="X30" s="26"/>
      <c r="Y30" s="26"/>
      <c r="Z30" s="39">
        <v>0</v>
      </c>
      <c r="AA30" s="39">
        <v>3</v>
      </c>
      <c r="AB30" s="98">
        <f t="array" ref="AB30">SUM(Matrice4*IFERROR(($D$4:$J$4-$AB$21)^Z30,1)*IFERROR(($C$5:$C$13-$AB$22)^AA30,1))</f>
        <v>76.58725761772871</v>
      </c>
      <c r="AC30" s="100"/>
      <c r="AD30" s="26"/>
      <c r="AE30" s="26"/>
      <c r="AF30" s="26"/>
      <c r="AG30" s="39">
        <v>0</v>
      </c>
      <c r="AH30" s="39">
        <v>3</v>
      </c>
      <c r="AI30" s="98">
        <f t="array" ref="AI30">SUM(Matrice5*IFERROR(($D$4:$J$4-$AI$21)^AG30,1)*IFERROR(($C$5:$C$13-$AI$22)^AH30,1))</f>
        <v>-13.780521262002821</v>
      </c>
      <c r="AJ30" s="100"/>
      <c r="AK30" s="26"/>
      <c r="AL30" s="26"/>
      <c r="AM30" s="26"/>
      <c r="AN30" s="39">
        <v>0</v>
      </c>
      <c r="AO30" s="39">
        <v>3</v>
      </c>
      <c r="AP30" s="98">
        <f t="array" ref="AP30">SUM(Matrice6*IFERROR(($D$4:$J$4-$AP$21)^AN30,1)*IFERROR(($C$5:$C$13-$AP$22)^AO30,1))</f>
        <v>0</v>
      </c>
      <c r="AQ30" s="100"/>
      <c r="AR30" s="26"/>
      <c r="AS30" s="26"/>
      <c r="AT30" s="26"/>
      <c r="AU30" s="39">
        <v>0</v>
      </c>
      <c r="AV30" s="39">
        <v>3</v>
      </c>
      <c r="AW30" s="98">
        <f t="array" ref="AW30">SUM(Matrice7*IFERROR(($D$4:$J$4-$AW$21)^AU30,1)*IFERROR(($C$5:$C$13-$AW$22)^AV30,1))</f>
        <v>-40.5</v>
      </c>
      <c r="AX30" s="100"/>
      <c r="AY30" s="26"/>
      <c r="AZ30" s="26"/>
      <c r="BA30" s="26"/>
      <c r="BB30" s="39">
        <v>0</v>
      </c>
      <c r="BC30" s="39">
        <v>3</v>
      </c>
      <c r="BD30" s="104">
        <f t="array" ref="BD30">SUM(Matrice8*IFERROR(($D$4:$J$4-$BD$21)^BB30,1)*IFERROR(($C$5:$C$13-$BD$22)^BC30,1))</f>
        <v>-179.28000000000014</v>
      </c>
      <c r="BE30" s="105"/>
      <c r="BF30" s="26"/>
      <c r="BG30" s="26"/>
      <c r="BH30" s="26"/>
      <c r="BI30" s="39">
        <v>0</v>
      </c>
      <c r="BJ30" s="39">
        <v>3</v>
      </c>
      <c r="BK30" s="98">
        <f t="array" ref="BK30">SUM(Matrice9*IFERROR(($D$4:$J$4-$BK$21)^BI30,1)*IFERROR(($C$5:$C$13-$BK$22)^BJ30,1))</f>
        <v>0</v>
      </c>
      <c r="BL30" s="100"/>
      <c r="BM30" s="26"/>
      <c r="BN30" s="26"/>
      <c r="BO30" s="26"/>
      <c r="BP30" s="39">
        <v>0</v>
      </c>
      <c r="BQ30" s="39">
        <v>3</v>
      </c>
      <c r="BR30" s="98">
        <f t="array" ref="BR30">SUM(Matrice10*IFERROR(($D$4:$J$4-$BR$21)^BP30,1)*IFERROR(($C$5:$C$13-$BR$22)^BQ30,1))</f>
        <v>0</v>
      </c>
      <c r="BS30" s="99"/>
    </row>
    <row r="31" spans="2:72" ht="20.100000000000001" hidden="1" customHeight="1" thickTop="1" thickBot="1" x14ac:dyDescent="0.3">
      <c r="B31" s="43" t="s">
        <v>17</v>
      </c>
      <c r="C31" s="26"/>
      <c r="D31" s="26"/>
      <c r="E31" s="39">
        <v>2</v>
      </c>
      <c r="F31" s="39">
        <v>1</v>
      </c>
      <c r="G31" s="98">
        <f t="array" ref="G31">SUM(Matrice1*IFERROR(($D$4:$J$4-$G$21)^E31,1)*IFERROR(($C$5:$C$13-$G$22)^F31,1))</f>
        <v>-18</v>
      </c>
      <c r="H31" s="100"/>
      <c r="I31" s="26"/>
      <c r="J31" s="26"/>
      <c r="K31" s="26"/>
      <c r="L31" s="39">
        <v>2</v>
      </c>
      <c r="M31" s="39">
        <v>1</v>
      </c>
      <c r="N31" s="98">
        <f t="array" ref="N31">SUM(Matrice2*IFERROR(($D$4:$J$4-$N$21)^L31,1)*IFERROR(($C$5:$C$13-$N$22)^M31,1))</f>
        <v>-15.999999999999986</v>
      </c>
      <c r="O31" s="100"/>
      <c r="P31" s="26"/>
      <c r="Q31" s="26"/>
      <c r="R31" s="26"/>
      <c r="S31" s="39">
        <v>2</v>
      </c>
      <c r="T31" s="39">
        <v>1</v>
      </c>
      <c r="U31" s="98">
        <f t="array" ref="U31">SUM(Matrice3*IFERROR(($D$4:$J$4-$U$21)^S31,1)*IFERROR(($C$5:$C$13-$U$22)^T31,1))</f>
        <v>0</v>
      </c>
      <c r="V31" s="100"/>
      <c r="W31" s="26"/>
      <c r="X31" s="26"/>
      <c r="Y31" s="26"/>
      <c r="Z31" s="39">
        <v>2</v>
      </c>
      <c r="AA31" s="39">
        <v>1</v>
      </c>
      <c r="AB31" s="98">
        <f t="array" ref="AB31">SUM(Matrice4*IFERROR(($D$4:$J$4-$AB$21)^Z31,1)*IFERROR(($C$5:$C$13-$AB$22)^AA31,1))</f>
        <v>-6.7036011080332454</v>
      </c>
      <c r="AC31" s="100"/>
      <c r="AD31" s="26"/>
      <c r="AE31" s="26"/>
      <c r="AF31" s="26"/>
      <c r="AG31" s="39">
        <v>2</v>
      </c>
      <c r="AH31" s="39">
        <v>1</v>
      </c>
      <c r="AI31" s="98">
        <f t="array" ref="AI31">SUM(Matrice5*IFERROR(($D$4:$J$4-$AI$21)^AG31,1)*IFERROR(($C$5:$C$13-$AI$22)^AH31,1))</f>
        <v>-10.59533607681754</v>
      </c>
      <c r="AJ31" s="100"/>
      <c r="AK31" s="26"/>
      <c r="AL31" s="26"/>
      <c r="AM31" s="26"/>
      <c r="AN31" s="39">
        <v>2</v>
      </c>
      <c r="AO31" s="39">
        <v>1</v>
      </c>
      <c r="AP31" s="98">
        <f t="array" ref="AP31">SUM(Matrice6*IFERROR(($D$4:$J$4-$AP$21)^AN31,1)*IFERROR(($C$5:$C$13-$AP$22)^AO31,1))</f>
        <v>16.111111111111114</v>
      </c>
      <c r="AQ31" s="100"/>
      <c r="AR31" s="26"/>
      <c r="AS31" s="26"/>
      <c r="AT31" s="26"/>
      <c r="AU31" s="39">
        <v>2</v>
      </c>
      <c r="AV31" s="39">
        <v>1</v>
      </c>
      <c r="AW31" s="98">
        <f t="array" ref="AW31">SUM(Matrice7*IFERROR(($D$4:$J$4-$AW$21)^AU31,1)*IFERROR(($C$5:$C$13-$AW$22)^AV31,1))</f>
        <v>11.625</v>
      </c>
      <c r="AX31" s="100"/>
      <c r="AY31" s="26"/>
      <c r="AZ31" s="26"/>
      <c r="BA31" s="26"/>
      <c r="BB31" s="39">
        <v>2</v>
      </c>
      <c r="BC31" s="39">
        <v>1</v>
      </c>
      <c r="BD31" s="104">
        <f t="array" ref="BD31">SUM(Matrice8*IFERROR(($D$4:$J$4-$BD$21)^BB31,1)*IFERROR(($C$5:$C$13-$BD$22)^BC31,1))</f>
        <v>30.719999999999981</v>
      </c>
      <c r="BE31" s="105"/>
      <c r="BF31" s="26"/>
      <c r="BG31" s="26"/>
      <c r="BH31" s="26"/>
      <c r="BI31" s="39">
        <v>2</v>
      </c>
      <c r="BJ31" s="39">
        <v>1</v>
      </c>
      <c r="BK31" s="98">
        <f t="array" ref="BK31">SUM(Matrice9*IFERROR(($D$4:$J$4-$BK$21)^BI31,1)*IFERROR(($C$5:$C$13-$BK$22)^BJ31,1))</f>
        <v>0</v>
      </c>
      <c r="BL31" s="100"/>
      <c r="BM31" s="26"/>
      <c r="BN31" s="26"/>
      <c r="BO31" s="26"/>
      <c r="BP31" s="39">
        <v>2</v>
      </c>
      <c r="BQ31" s="39">
        <v>1</v>
      </c>
      <c r="BR31" s="98">
        <f t="array" ref="BR31">SUM(Matrice10*IFERROR(($D$4:$J$4-$BR$21)^BP31,1)*IFERROR(($C$5:$C$13-$BR$22)^BQ31,1))</f>
        <v>0</v>
      </c>
      <c r="BS31" s="99"/>
    </row>
    <row r="32" spans="2:72" ht="20.100000000000001" hidden="1" customHeight="1" thickTop="1" thickBot="1" x14ac:dyDescent="0.3">
      <c r="B32" s="44" t="s">
        <v>18</v>
      </c>
      <c r="C32" s="27"/>
      <c r="D32" s="27"/>
      <c r="E32" s="40">
        <v>1</v>
      </c>
      <c r="F32" s="40">
        <v>2</v>
      </c>
      <c r="G32" s="117">
        <f t="array" ref="G32">SUM(Matrice1*IFERROR(($D$4:$J$4-$G$21)^E32,1)*IFERROR(($C$5:$C$13-$G$22)^F32,1))</f>
        <v>9.25</v>
      </c>
      <c r="H32" s="118"/>
      <c r="I32" s="27"/>
      <c r="J32" s="27"/>
      <c r="K32" s="27"/>
      <c r="L32" s="40">
        <v>1</v>
      </c>
      <c r="M32" s="40">
        <v>2</v>
      </c>
      <c r="N32" s="117">
        <f t="array" ref="N32">SUM(Matrice2*IFERROR(($D$4:$J$4-$N$21)^L32,1)*IFERROR(($C$5:$C$13-$N$22)^M32,1))</f>
        <v>-2.666666666666643</v>
      </c>
      <c r="O32" s="118"/>
      <c r="P32" s="27"/>
      <c r="Q32" s="27"/>
      <c r="R32" s="27"/>
      <c r="S32" s="40">
        <v>1</v>
      </c>
      <c r="T32" s="40">
        <v>2</v>
      </c>
      <c r="U32" s="117">
        <f t="array" ref="U32">SUM(Matrice3*IFERROR(($D$4:$J$4-$U$21)^S32,1)*IFERROR(($C$5:$C$13-$U$22)^T32,1))</f>
        <v>0</v>
      </c>
      <c r="V32" s="118"/>
      <c r="W32" s="27"/>
      <c r="X32" s="27"/>
      <c r="Y32" s="27"/>
      <c r="Z32" s="40">
        <v>1</v>
      </c>
      <c r="AA32" s="40">
        <v>2</v>
      </c>
      <c r="AB32" s="117">
        <f t="array" ref="AB32">SUM(Matrice4*IFERROR(($D$4:$J$4-$AB$21)^Z32,1)*IFERROR(($C$5:$C$13-$AB$22)^AA32,1))</f>
        <v>-6.6481994459834048</v>
      </c>
      <c r="AC32" s="118"/>
      <c r="AD32" s="27"/>
      <c r="AE32" s="27"/>
      <c r="AF32" s="27"/>
      <c r="AG32" s="40">
        <v>1</v>
      </c>
      <c r="AH32" s="40">
        <v>2</v>
      </c>
      <c r="AI32" s="93">
        <f t="array" ref="AI32">SUM(Matrice5*IFERROR(($D$4:$J$4-$AI$21)^AG32,1)*IFERROR(($C$5:$C$13-$AI$22)^AH32,1))</f>
        <v>15.632373113854573</v>
      </c>
      <c r="AJ32" s="94"/>
      <c r="AK32" s="27"/>
      <c r="AL32" s="27"/>
      <c r="AM32" s="27"/>
      <c r="AN32" s="40">
        <v>1</v>
      </c>
      <c r="AO32" s="40">
        <v>2</v>
      </c>
      <c r="AP32" s="117">
        <f t="array" ref="AP32">SUM(Matrice6*IFERROR(($D$4:$J$4-$AP$21)^AN32,1)*IFERROR(($C$5:$C$13-$AP$22)^AO32,1))</f>
        <v>-3.8888888888888928</v>
      </c>
      <c r="AQ32" s="118"/>
      <c r="AR32" s="27"/>
      <c r="AS32" s="27"/>
      <c r="AT32" s="27"/>
      <c r="AU32" s="40">
        <v>1</v>
      </c>
      <c r="AV32" s="40">
        <v>2</v>
      </c>
      <c r="AW32" s="93">
        <f t="array" ref="AW32">SUM(Matrice7*IFERROR(($D$4:$J$4-$AW$21)^AU32,1)*IFERROR(($C$5:$C$13-$AW$22)^AV32,1))</f>
        <v>-22.75</v>
      </c>
      <c r="AX32" s="94"/>
      <c r="AY32" s="27"/>
      <c r="AZ32" s="27"/>
      <c r="BA32" s="27"/>
      <c r="BB32" s="40">
        <v>1</v>
      </c>
      <c r="BC32" s="40">
        <v>2</v>
      </c>
      <c r="BD32" s="106">
        <f t="array" ref="BD32">SUM(Matrice8*IFERROR(($D$4:$J$4-$BD$21)^BB32,1)*IFERROR(($C$5:$C$13-$BD$22)^BC32,1))</f>
        <v>0.31999999999996476</v>
      </c>
      <c r="BE32" s="107"/>
      <c r="BF32" s="27"/>
      <c r="BG32" s="27"/>
      <c r="BH32" s="27"/>
      <c r="BI32" s="40">
        <v>1</v>
      </c>
      <c r="BJ32" s="40">
        <v>2</v>
      </c>
      <c r="BK32" s="93">
        <f t="array" ref="BK32">SUM(Matrice9*IFERROR(($D$4:$J$4-$BK$21)^BI32,1)*IFERROR(($C$5:$C$13-$BK$22)^BJ32,1))</f>
        <v>0</v>
      </c>
      <c r="BL32" s="94"/>
      <c r="BM32" s="27"/>
      <c r="BN32" s="27"/>
      <c r="BO32" s="27"/>
      <c r="BP32" s="40">
        <v>1</v>
      </c>
      <c r="BQ32" s="40">
        <v>2</v>
      </c>
      <c r="BR32" s="93">
        <f t="array" ref="BR32">SUM(Matrice10*IFERROR(($D$4:$J$4-$BR$21)^BP32,1)*IFERROR(($C$5:$C$13-$BR$22)^BQ32,1))</f>
        <v>52.5</v>
      </c>
      <c r="BS32" s="97"/>
    </row>
    <row r="33" spans="2:71" ht="20.100000000000001" hidden="1" customHeight="1" thickBot="1" x14ac:dyDescent="0.3">
      <c r="G33" s="22"/>
      <c r="H33" s="22"/>
      <c r="N33" s="22"/>
      <c r="O33" s="22"/>
      <c r="U33" s="22"/>
      <c r="V33" s="22"/>
      <c r="AB33" s="22"/>
      <c r="AC33" s="22"/>
      <c r="AP33" s="22"/>
      <c r="AQ33" s="22"/>
      <c r="AW33" s="22"/>
      <c r="BD33" s="22"/>
      <c r="BK33" s="22"/>
    </row>
    <row r="34" spans="2:71" ht="20.100000000000001" hidden="1" customHeight="1" thickBot="1" x14ac:dyDescent="0.3">
      <c r="B34" s="42" t="s">
        <v>28</v>
      </c>
      <c r="C34" s="22"/>
      <c r="D34" s="22"/>
      <c r="E34" s="33" t="s">
        <v>9</v>
      </c>
      <c r="F34" s="33" t="s">
        <v>10</v>
      </c>
      <c r="G34" s="33" t="s">
        <v>8</v>
      </c>
      <c r="H34" s="33"/>
      <c r="I34" s="22"/>
      <c r="J34" s="22"/>
      <c r="K34" s="22"/>
      <c r="L34" s="33" t="s">
        <v>9</v>
      </c>
      <c r="M34" s="33" t="s">
        <v>10</v>
      </c>
      <c r="N34" s="33" t="s">
        <v>8</v>
      </c>
      <c r="O34" s="33"/>
      <c r="P34" s="22"/>
      <c r="Q34" s="22"/>
      <c r="R34" s="22"/>
      <c r="S34" s="33" t="s">
        <v>9</v>
      </c>
      <c r="T34" s="33" t="s">
        <v>10</v>
      </c>
      <c r="U34" s="33" t="s">
        <v>8</v>
      </c>
      <c r="V34" s="33"/>
      <c r="W34" s="22"/>
      <c r="X34" s="22"/>
      <c r="Y34" s="22"/>
      <c r="Z34" s="33" t="s">
        <v>9</v>
      </c>
      <c r="AA34" s="33" t="s">
        <v>10</v>
      </c>
      <c r="AB34" s="33" t="s">
        <v>8</v>
      </c>
      <c r="AC34" s="33"/>
      <c r="AD34" s="22"/>
      <c r="AE34" s="22"/>
      <c r="AF34" s="22"/>
      <c r="AG34" s="33" t="s">
        <v>9</v>
      </c>
      <c r="AH34" s="33" t="s">
        <v>10</v>
      </c>
      <c r="AI34" s="33" t="s">
        <v>8</v>
      </c>
      <c r="AJ34" s="33"/>
      <c r="AK34" s="22"/>
      <c r="AL34" s="22"/>
      <c r="AM34" s="22"/>
      <c r="AN34" s="33" t="s">
        <v>9</v>
      </c>
      <c r="AO34" s="33" t="s">
        <v>10</v>
      </c>
      <c r="AP34" s="33" t="s">
        <v>8</v>
      </c>
      <c r="AQ34" s="33"/>
      <c r="AR34" s="22"/>
      <c r="AS34" s="22"/>
      <c r="AT34" s="22"/>
      <c r="AU34" s="33" t="s">
        <v>9</v>
      </c>
      <c r="AV34" s="33" t="s">
        <v>10</v>
      </c>
      <c r="AW34" s="33" t="s">
        <v>8</v>
      </c>
      <c r="AX34" s="33"/>
      <c r="AY34" s="22"/>
      <c r="AZ34" s="22"/>
      <c r="BA34" s="22"/>
      <c r="BB34" s="33" t="s">
        <v>9</v>
      </c>
      <c r="BC34" s="33" t="s">
        <v>10</v>
      </c>
      <c r="BD34" s="33" t="s">
        <v>8</v>
      </c>
      <c r="BE34" s="33"/>
      <c r="BF34" s="22"/>
      <c r="BG34" s="22"/>
      <c r="BH34" s="22"/>
      <c r="BI34" s="33" t="s">
        <v>9</v>
      </c>
      <c r="BJ34" s="33" t="s">
        <v>10</v>
      </c>
      <c r="BK34" s="33" t="s">
        <v>8</v>
      </c>
      <c r="BL34" s="33"/>
      <c r="BM34" s="22"/>
      <c r="BN34" s="22"/>
      <c r="BO34" s="22"/>
      <c r="BP34" s="33" t="s">
        <v>9</v>
      </c>
      <c r="BQ34" s="33" t="s">
        <v>10</v>
      </c>
      <c r="BR34" s="33" t="s">
        <v>8</v>
      </c>
      <c r="BS34" s="34"/>
    </row>
    <row r="35" spans="2:71" ht="20.100000000000001" hidden="1" customHeight="1" thickBot="1" x14ac:dyDescent="0.3">
      <c r="B35" s="43" t="s">
        <v>20</v>
      </c>
      <c r="C35" s="26"/>
      <c r="D35" s="26"/>
      <c r="E35" s="41">
        <v>2</v>
      </c>
      <c r="F35" s="41">
        <v>0</v>
      </c>
      <c r="G35" s="95">
        <f>G26/($G$25*(1+(E35+F35)/2))</f>
        <v>1.4583333333333333</v>
      </c>
      <c r="H35" s="101"/>
      <c r="I35" s="26"/>
      <c r="J35" s="26"/>
      <c r="K35" s="26"/>
      <c r="L35" s="41">
        <v>2</v>
      </c>
      <c r="M35" s="41">
        <v>0</v>
      </c>
      <c r="N35" s="95">
        <f t="shared" ref="N35:N41" si="0">N26/($N$25*(1+(E35+F35)/2))</f>
        <v>0.55555555555555547</v>
      </c>
      <c r="O35" s="101"/>
      <c r="P35" s="26"/>
      <c r="Q35" s="26"/>
      <c r="R35" s="26"/>
      <c r="S35" s="41">
        <v>2</v>
      </c>
      <c r="T35" s="41">
        <v>0</v>
      </c>
      <c r="U35" s="95">
        <f t="shared" ref="U35:U41" si="1">U26/($U$25*(1+(E35+F35)/2))</f>
        <v>0.52500000000000002</v>
      </c>
      <c r="V35" s="101"/>
      <c r="W35" s="26"/>
      <c r="X35" s="26"/>
      <c r="Y35" s="26"/>
      <c r="Z35" s="41">
        <v>2</v>
      </c>
      <c r="AA35" s="41">
        <v>0</v>
      </c>
      <c r="AB35" s="95">
        <f t="shared" ref="AB35:AB41" si="2">AB26/($AB$25*(1+(E35+F35)/2))</f>
        <v>1.1883656509695293</v>
      </c>
      <c r="AC35" s="101"/>
      <c r="AD35" s="26"/>
      <c r="AE35" s="26"/>
      <c r="AF35" s="26"/>
      <c r="AG35" s="41">
        <v>2</v>
      </c>
      <c r="AH35" s="41">
        <v>0</v>
      </c>
      <c r="AI35" s="95">
        <f t="shared" ref="AI35:AI41" si="3">AI26/($AI$25*(1+(E35+F35)/2))</f>
        <v>1.3882030178326477</v>
      </c>
      <c r="AJ35" s="101"/>
      <c r="AK35" s="26"/>
      <c r="AL35" s="26"/>
      <c r="AM35" s="26"/>
      <c r="AN35" s="41">
        <v>2</v>
      </c>
      <c r="AO35" s="41">
        <v>0</v>
      </c>
      <c r="AP35" s="95">
        <f t="shared" ref="AP35:AP41" si="4">AP26/($AP$25*(1+(E35+F35)/2))</f>
        <v>1.2716049382716053</v>
      </c>
      <c r="AQ35" s="101"/>
      <c r="AR35" s="26"/>
      <c r="AS35" s="26"/>
      <c r="AT35" s="26"/>
      <c r="AU35" s="41">
        <v>2</v>
      </c>
      <c r="AV35" s="41">
        <v>0</v>
      </c>
      <c r="AW35" s="95">
        <f t="shared" ref="AW35:AW41" si="5">AW26/($AW$25*(1+(E35+F35)/2))</f>
        <v>1.0546875</v>
      </c>
      <c r="AX35" s="101"/>
      <c r="AY35" s="26"/>
      <c r="AZ35" s="26"/>
      <c r="BA35" s="26"/>
      <c r="BB35" s="41">
        <v>2</v>
      </c>
      <c r="BC35" s="41">
        <v>0</v>
      </c>
      <c r="BD35" s="95">
        <f t="shared" ref="BD35:BD41" si="6">BD26/($BD$25*(1+(E35+F35)/2))</f>
        <v>1.2050000000000001</v>
      </c>
      <c r="BE35" s="101"/>
      <c r="BF35" s="26"/>
      <c r="BG35" s="26"/>
      <c r="BH35" s="26"/>
      <c r="BI35" s="41">
        <v>2</v>
      </c>
      <c r="BJ35" s="41">
        <v>0</v>
      </c>
      <c r="BK35" s="95">
        <f t="shared" ref="BK35:BK41" si="7">BK26/($BK$25*(1+(E35+F35)/2))</f>
        <v>0</v>
      </c>
      <c r="BL35" s="101"/>
      <c r="BM35" s="26"/>
      <c r="BN35" s="26"/>
      <c r="BO35" s="26"/>
      <c r="BP35" s="41">
        <v>2</v>
      </c>
      <c r="BQ35" s="41">
        <v>0</v>
      </c>
      <c r="BR35" s="95">
        <f t="shared" ref="BR35:BR41" si="8">BR26/($BR$25*(1+(E35+F35)/2))</f>
        <v>0.6796875</v>
      </c>
      <c r="BS35" s="96"/>
    </row>
    <row r="36" spans="2:71" ht="20.100000000000001" hidden="1" customHeight="1" thickTop="1" thickBot="1" x14ac:dyDescent="0.3">
      <c r="B36" s="43" t="s">
        <v>21</v>
      </c>
      <c r="C36" s="26"/>
      <c r="D36" s="26"/>
      <c r="E36" s="39">
        <v>0</v>
      </c>
      <c r="F36" s="39">
        <v>2</v>
      </c>
      <c r="G36" s="98">
        <f t="shared" ref="G36:G41" si="9">G27/($G$25*(1+(E36+F36)/2))</f>
        <v>1.09375</v>
      </c>
      <c r="H36" s="100"/>
      <c r="I36" s="26"/>
      <c r="J36" s="26"/>
      <c r="K36" s="26"/>
      <c r="L36" s="39">
        <v>0</v>
      </c>
      <c r="M36" s="39">
        <v>2</v>
      </c>
      <c r="N36" s="98">
        <f t="shared" si="0"/>
        <v>3.3333333333333335</v>
      </c>
      <c r="O36" s="100"/>
      <c r="P36" s="26"/>
      <c r="Q36" s="26"/>
      <c r="R36" s="26"/>
      <c r="S36" s="39">
        <v>0</v>
      </c>
      <c r="T36" s="39">
        <v>2</v>
      </c>
      <c r="U36" s="98">
        <f t="shared" si="1"/>
        <v>2.2999999999999998</v>
      </c>
      <c r="V36" s="100"/>
      <c r="W36" s="26"/>
      <c r="X36" s="26"/>
      <c r="Y36" s="26"/>
      <c r="Z36" s="39">
        <v>0</v>
      </c>
      <c r="AA36" s="39">
        <v>2</v>
      </c>
      <c r="AB36" s="98">
        <f t="shared" si="2"/>
        <v>4.0470914127423825</v>
      </c>
      <c r="AC36" s="100"/>
      <c r="AD36" s="26"/>
      <c r="AE36" s="26"/>
      <c r="AF36" s="26"/>
      <c r="AG36" s="39">
        <v>0</v>
      </c>
      <c r="AH36" s="39">
        <v>2</v>
      </c>
      <c r="AI36" s="98">
        <f t="shared" si="3"/>
        <v>3.8696844993141277</v>
      </c>
      <c r="AJ36" s="100"/>
      <c r="AK36" s="26"/>
      <c r="AL36" s="26"/>
      <c r="AM36" s="26"/>
      <c r="AN36" s="39">
        <v>0</v>
      </c>
      <c r="AO36" s="39">
        <v>2</v>
      </c>
      <c r="AP36" s="98">
        <f t="shared" si="4"/>
        <v>4.2222222222222223</v>
      </c>
      <c r="AQ36" s="100"/>
      <c r="AR36" s="26"/>
      <c r="AS36" s="26"/>
      <c r="AT36" s="26"/>
      <c r="AU36" s="39">
        <v>0</v>
      </c>
      <c r="AV36" s="39">
        <v>2</v>
      </c>
      <c r="AW36" s="98">
        <f t="shared" si="5"/>
        <v>4.34375</v>
      </c>
      <c r="AX36" s="100"/>
      <c r="AY36" s="26"/>
      <c r="AZ36" s="26"/>
      <c r="BA36" s="26"/>
      <c r="BB36" s="39">
        <v>0</v>
      </c>
      <c r="BC36" s="39">
        <v>2</v>
      </c>
      <c r="BD36" s="98">
        <f t="shared" si="6"/>
        <v>4.004999999999999</v>
      </c>
      <c r="BE36" s="100"/>
      <c r="BF36" s="26"/>
      <c r="BG36" s="26"/>
      <c r="BH36" s="26"/>
      <c r="BI36" s="39">
        <v>0</v>
      </c>
      <c r="BJ36" s="39">
        <v>2</v>
      </c>
      <c r="BK36" s="98">
        <f t="shared" si="7"/>
        <v>3.3333333333333335</v>
      </c>
      <c r="BL36" s="100"/>
      <c r="BM36" s="26"/>
      <c r="BN36" s="26"/>
      <c r="BO36" s="26"/>
      <c r="BP36" s="39">
        <v>0</v>
      </c>
      <c r="BQ36" s="39">
        <v>2</v>
      </c>
      <c r="BR36" s="98">
        <f t="shared" si="8"/>
        <v>3.875</v>
      </c>
      <c r="BS36" s="99"/>
    </row>
    <row r="37" spans="2:71" ht="20.100000000000001" hidden="1" customHeight="1" thickTop="1" thickBot="1" x14ac:dyDescent="0.3">
      <c r="B37" s="43" t="s">
        <v>22</v>
      </c>
      <c r="C37" s="26"/>
      <c r="D37" s="26"/>
      <c r="E37" s="39">
        <v>1</v>
      </c>
      <c r="F37" s="39">
        <v>1</v>
      </c>
      <c r="G37" s="98">
        <f t="shared" si="9"/>
        <v>0.4375</v>
      </c>
      <c r="H37" s="100"/>
      <c r="I37" s="26"/>
      <c r="J37" s="26"/>
      <c r="K37" s="26"/>
      <c r="L37" s="39">
        <v>1</v>
      </c>
      <c r="M37" s="39">
        <v>1</v>
      </c>
      <c r="N37" s="98">
        <f t="shared" si="0"/>
        <v>0.88888888888888884</v>
      </c>
      <c r="O37" s="100"/>
      <c r="P37" s="26"/>
      <c r="Q37" s="26"/>
      <c r="R37" s="26"/>
      <c r="S37" s="39">
        <v>1</v>
      </c>
      <c r="T37" s="39">
        <v>1</v>
      </c>
      <c r="U37" s="98">
        <f t="shared" si="1"/>
        <v>-0.45</v>
      </c>
      <c r="V37" s="100"/>
      <c r="W37" s="26"/>
      <c r="X37" s="26"/>
      <c r="Y37" s="26"/>
      <c r="Z37" s="39">
        <v>1</v>
      </c>
      <c r="AA37" s="39">
        <v>1</v>
      </c>
      <c r="AB37" s="98">
        <f t="shared" si="2"/>
        <v>0.221606648199446</v>
      </c>
      <c r="AC37" s="100"/>
      <c r="AD37" s="26"/>
      <c r="AE37" s="26"/>
      <c r="AF37" s="26"/>
      <c r="AG37" s="39">
        <v>1</v>
      </c>
      <c r="AH37" s="39">
        <v>1</v>
      </c>
      <c r="AI37" s="98">
        <f t="shared" si="3"/>
        <v>9.3278463648833979E-2</v>
      </c>
      <c r="AJ37" s="100"/>
      <c r="AK37" s="26"/>
      <c r="AL37" s="26"/>
      <c r="AM37" s="26"/>
      <c r="AN37" s="39">
        <v>1</v>
      </c>
      <c r="AO37" s="39">
        <v>1</v>
      </c>
      <c r="AP37" s="98">
        <f t="shared" si="4"/>
        <v>-0.1388888888888889</v>
      </c>
      <c r="AQ37" s="100"/>
      <c r="AR37" s="26"/>
      <c r="AS37" s="26"/>
      <c r="AT37" s="26"/>
      <c r="AU37" s="39">
        <v>1</v>
      </c>
      <c r="AV37" s="39">
        <v>1</v>
      </c>
      <c r="AW37" s="98">
        <f t="shared" si="5"/>
        <v>0.515625</v>
      </c>
      <c r="AX37" s="100"/>
      <c r="AY37" s="26"/>
      <c r="AZ37" s="26"/>
      <c r="BA37" s="26"/>
      <c r="BB37" s="39">
        <v>1</v>
      </c>
      <c r="BC37" s="39">
        <v>1</v>
      </c>
      <c r="BD37" s="98">
        <f t="shared" si="6"/>
        <v>0.40499999999999997</v>
      </c>
      <c r="BE37" s="100"/>
      <c r="BF37" s="26"/>
      <c r="BG37" s="26"/>
      <c r="BH37" s="26"/>
      <c r="BI37" s="39">
        <v>1</v>
      </c>
      <c r="BJ37" s="39">
        <v>1</v>
      </c>
      <c r="BK37" s="98">
        <f t="shared" si="7"/>
        <v>0</v>
      </c>
      <c r="BL37" s="100"/>
      <c r="BM37" s="26"/>
      <c r="BN37" s="26"/>
      <c r="BO37" s="26"/>
      <c r="BP37" s="39">
        <v>1</v>
      </c>
      <c r="BQ37" s="39">
        <v>1</v>
      </c>
      <c r="BR37" s="98">
        <f t="shared" si="8"/>
        <v>0</v>
      </c>
      <c r="BS37" s="99"/>
    </row>
    <row r="38" spans="2:71" ht="20.100000000000001" hidden="1" customHeight="1" thickTop="1" thickBot="1" x14ac:dyDescent="0.3">
      <c r="B38" s="43" t="s">
        <v>23</v>
      </c>
      <c r="C38" s="26"/>
      <c r="D38" s="26"/>
      <c r="E38" s="39">
        <v>3</v>
      </c>
      <c r="F38" s="39">
        <v>0</v>
      </c>
      <c r="G38" s="98">
        <f t="shared" si="9"/>
        <v>-1</v>
      </c>
      <c r="H38" s="100"/>
      <c r="I38" s="26"/>
      <c r="J38" s="26"/>
      <c r="K38" s="26"/>
      <c r="L38" s="39">
        <v>3</v>
      </c>
      <c r="M38" s="39">
        <v>0</v>
      </c>
      <c r="N38" s="98">
        <f t="shared" si="0"/>
        <v>-0.59259259259259189</v>
      </c>
      <c r="O38" s="100"/>
      <c r="P38" s="26"/>
      <c r="Q38" s="26"/>
      <c r="R38" s="26"/>
      <c r="S38" s="39">
        <v>3</v>
      </c>
      <c r="T38" s="39">
        <v>0</v>
      </c>
      <c r="U38" s="98">
        <f t="shared" si="1"/>
        <v>0</v>
      </c>
      <c r="V38" s="100"/>
      <c r="W38" s="26"/>
      <c r="X38" s="26"/>
      <c r="Y38" s="26"/>
      <c r="Z38" s="39">
        <v>3</v>
      </c>
      <c r="AA38" s="39">
        <v>0</v>
      </c>
      <c r="AB38" s="98">
        <f t="shared" si="2"/>
        <v>-0.26732759877533241</v>
      </c>
      <c r="AC38" s="100"/>
      <c r="AD38" s="26"/>
      <c r="AE38" s="26"/>
      <c r="AF38" s="26"/>
      <c r="AG38" s="39">
        <v>3</v>
      </c>
      <c r="AH38" s="39">
        <v>0</v>
      </c>
      <c r="AI38" s="98">
        <f t="shared" si="3"/>
        <v>-1.9712442209013456E-2</v>
      </c>
      <c r="AJ38" s="100"/>
      <c r="AK38" s="26"/>
      <c r="AL38" s="26"/>
      <c r="AM38" s="26"/>
      <c r="AN38" s="39">
        <v>3</v>
      </c>
      <c r="AO38" s="39">
        <v>0</v>
      </c>
      <c r="AP38" s="98">
        <f t="shared" si="4"/>
        <v>-2.8532235939643484E-2</v>
      </c>
      <c r="AQ38" s="100"/>
      <c r="AR38" s="26"/>
      <c r="AS38" s="26"/>
      <c r="AT38" s="26"/>
      <c r="AU38" s="39">
        <v>3</v>
      </c>
      <c r="AV38" s="39">
        <v>0</v>
      </c>
      <c r="AW38" s="98">
        <f t="shared" si="5"/>
        <v>0.1171875</v>
      </c>
      <c r="AX38" s="100"/>
      <c r="AY38" s="26"/>
      <c r="AZ38" s="26"/>
      <c r="BA38" s="26"/>
      <c r="BB38" s="39">
        <v>3</v>
      </c>
      <c r="BC38" s="39">
        <v>0</v>
      </c>
      <c r="BD38" s="98">
        <f t="shared" si="6"/>
        <v>0.39839999999999948</v>
      </c>
      <c r="BE38" s="100"/>
      <c r="BF38" s="26"/>
      <c r="BG38" s="26"/>
      <c r="BH38" s="26"/>
      <c r="BI38" s="39">
        <v>3</v>
      </c>
      <c r="BJ38" s="39">
        <v>0</v>
      </c>
      <c r="BK38" s="98">
        <f t="shared" si="7"/>
        <v>0</v>
      </c>
      <c r="BL38" s="100"/>
      <c r="BM38" s="26"/>
      <c r="BN38" s="26"/>
      <c r="BO38" s="26"/>
      <c r="BP38" s="39">
        <v>3</v>
      </c>
      <c r="BQ38" s="39">
        <v>0</v>
      </c>
      <c r="BR38" s="98">
        <f t="shared" si="8"/>
        <v>0.29531249999999998</v>
      </c>
      <c r="BS38" s="99"/>
    </row>
    <row r="39" spans="2:71" ht="20.100000000000001" hidden="1" customHeight="1" thickTop="1" thickBot="1" x14ac:dyDescent="0.3">
      <c r="B39" s="43" t="s">
        <v>24</v>
      </c>
      <c r="C39" s="26"/>
      <c r="D39" s="26"/>
      <c r="E39" s="39">
        <v>0</v>
      </c>
      <c r="F39" s="39">
        <v>3</v>
      </c>
      <c r="G39" s="98">
        <f t="shared" si="9"/>
        <v>3.7499999999999999E-2</v>
      </c>
      <c r="H39" s="100"/>
      <c r="I39" s="26"/>
      <c r="J39" s="26"/>
      <c r="K39" s="26"/>
      <c r="L39" s="39">
        <v>0</v>
      </c>
      <c r="M39" s="39">
        <v>3</v>
      </c>
      <c r="N39" s="98">
        <f t="shared" si="0"/>
        <v>3.0814814814814833</v>
      </c>
      <c r="O39" s="100"/>
      <c r="P39" s="26"/>
      <c r="Q39" s="26"/>
      <c r="R39" s="26"/>
      <c r="S39" s="39">
        <v>0</v>
      </c>
      <c r="T39" s="39">
        <v>3</v>
      </c>
      <c r="U39" s="98">
        <f t="shared" si="1"/>
        <v>0</v>
      </c>
      <c r="V39" s="100"/>
      <c r="W39" s="26"/>
      <c r="X39" s="26"/>
      <c r="Y39" s="26"/>
      <c r="Z39" s="39">
        <v>0</v>
      </c>
      <c r="AA39" s="39">
        <v>3</v>
      </c>
      <c r="AB39" s="98">
        <f t="shared" si="2"/>
        <v>1.6123633182679729</v>
      </c>
      <c r="AC39" s="100"/>
      <c r="AD39" s="26"/>
      <c r="AE39" s="26"/>
      <c r="AF39" s="26"/>
      <c r="AG39" s="39">
        <v>0</v>
      </c>
      <c r="AH39" s="39">
        <v>3</v>
      </c>
      <c r="AI39" s="98">
        <f t="shared" si="3"/>
        <v>-0.20415587054818995</v>
      </c>
      <c r="AJ39" s="100"/>
      <c r="AK39" s="26"/>
      <c r="AL39" s="26"/>
      <c r="AM39" s="26"/>
      <c r="AN39" s="39">
        <v>0</v>
      </c>
      <c r="AO39" s="39">
        <v>3</v>
      </c>
      <c r="AP39" s="98">
        <f t="shared" si="4"/>
        <v>0</v>
      </c>
      <c r="AQ39" s="100"/>
      <c r="AR39" s="26"/>
      <c r="AS39" s="26"/>
      <c r="AT39" s="26"/>
      <c r="AU39" s="39">
        <v>0</v>
      </c>
      <c r="AV39" s="39">
        <v>3</v>
      </c>
      <c r="AW39" s="98">
        <f t="shared" si="5"/>
        <v>-1.0125</v>
      </c>
      <c r="AX39" s="100"/>
      <c r="AY39" s="26"/>
      <c r="AZ39" s="26"/>
      <c r="BA39" s="26"/>
      <c r="BB39" s="39">
        <v>0</v>
      </c>
      <c r="BC39" s="39">
        <v>3</v>
      </c>
      <c r="BD39" s="98">
        <f t="shared" si="6"/>
        <v>-3.585600000000003</v>
      </c>
      <c r="BE39" s="100"/>
      <c r="BF39" s="26"/>
      <c r="BG39" s="26"/>
      <c r="BH39" s="26"/>
      <c r="BI39" s="39">
        <v>0</v>
      </c>
      <c r="BJ39" s="39">
        <v>3</v>
      </c>
      <c r="BK39" s="98">
        <f t="shared" si="7"/>
        <v>0</v>
      </c>
      <c r="BL39" s="100"/>
      <c r="BM39" s="26"/>
      <c r="BN39" s="26"/>
      <c r="BO39" s="26"/>
      <c r="BP39" s="39">
        <v>0</v>
      </c>
      <c r="BQ39" s="39">
        <v>3</v>
      </c>
      <c r="BR39" s="98">
        <f t="shared" si="8"/>
        <v>0</v>
      </c>
      <c r="BS39" s="99"/>
    </row>
    <row r="40" spans="2:71" ht="20.100000000000001" hidden="1" customHeight="1" thickTop="1" thickBot="1" x14ac:dyDescent="0.3">
      <c r="B40" s="43" t="s">
        <v>25</v>
      </c>
      <c r="C40" s="26"/>
      <c r="D40" s="26"/>
      <c r="E40" s="39">
        <v>2</v>
      </c>
      <c r="F40" s="39">
        <v>1</v>
      </c>
      <c r="G40" s="98">
        <f t="shared" si="9"/>
        <v>-0.6</v>
      </c>
      <c r="H40" s="100"/>
      <c r="I40" s="26"/>
      <c r="J40" s="26"/>
      <c r="K40" s="26"/>
      <c r="L40" s="39">
        <v>2</v>
      </c>
      <c r="M40" s="39">
        <v>1</v>
      </c>
      <c r="N40" s="98">
        <f t="shared" si="0"/>
        <v>-0.71111111111111047</v>
      </c>
      <c r="O40" s="100"/>
      <c r="P40" s="26"/>
      <c r="Q40" s="26"/>
      <c r="R40" s="26"/>
      <c r="S40" s="39">
        <v>2</v>
      </c>
      <c r="T40" s="39">
        <v>1</v>
      </c>
      <c r="U40" s="98">
        <f t="shared" si="1"/>
        <v>0</v>
      </c>
      <c r="V40" s="100"/>
      <c r="W40" s="26"/>
      <c r="X40" s="26"/>
      <c r="Y40" s="26"/>
      <c r="Z40" s="39">
        <v>2</v>
      </c>
      <c r="AA40" s="39">
        <v>1</v>
      </c>
      <c r="AB40" s="98">
        <f t="shared" si="2"/>
        <v>-0.14112844437964728</v>
      </c>
      <c r="AC40" s="100"/>
      <c r="AD40" s="26"/>
      <c r="AE40" s="26"/>
      <c r="AF40" s="26"/>
      <c r="AG40" s="39">
        <v>2</v>
      </c>
      <c r="AH40" s="39">
        <v>1</v>
      </c>
      <c r="AI40" s="98">
        <f t="shared" si="3"/>
        <v>-0.15696794187877838</v>
      </c>
      <c r="AJ40" s="100"/>
      <c r="AK40" s="26"/>
      <c r="AL40" s="26"/>
      <c r="AM40" s="26"/>
      <c r="AN40" s="39">
        <v>2</v>
      </c>
      <c r="AO40" s="39">
        <v>1</v>
      </c>
      <c r="AP40" s="98">
        <f t="shared" si="4"/>
        <v>0.35802469135802478</v>
      </c>
      <c r="AQ40" s="100"/>
      <c r="AR40" s="26"/>
      <c r="AS40" s="26"/>
      <c r="AT40" s="26"/>
      <c r="AU40" s="39">
        <v>2</v>
      </c>
      <c r="AV40" s="39">
        <v>1</v>
      </c>
      <c r="AW40" s="98">
        <f t="shared" si="5"/>
        <v>0.29062500000000002</v>
      </c>
      <c r="AX40" s="100"/>
      <c r="AY40" s="26"/>
      <c r="AZ40" s="26"/>
      <c r="BA40" s="26"/>
      <c r="BB40" s="39">
        <v>2</v>
      </c>
      <c r="BC40" s="39">
        <v>1</v>
      </c>
      <c r="BD40" s="98">
        <f t="shared" si="6"/>
        <v>0.61439999999999961</v>
      </c>
      <c r="BE40" s="100"/>
      <c r="BF40" s="26"/>
      <c r="BG40" s="26"/>
      <c r="BH40" s="26"/>
      <c r="BI40" s="39">
        <v>2</v>
      </c>
      <c r="BJ40" s="39">
        <v>1</v>
      </c>
      <c r="BK40" s="98">
        <f t="shared" si="7"/>
        <v>0</v>
      </c>
      <c r="BL40" s="100"/>
      <c r="BM40" s="26"/>
      <c r="BN40" s="26"/>
      <c r="BO40" s="26"/>
      <c r="BP40" s="39">
        <v>2</v>
      </c>
      <c r="BQ40" s="39">
        <v>1</v>
      </c>
      <c r="BR40" s="98">
        <f t="shared" si="8"/>
        <v>0</v>
      </c>
      <c r="BS40" s="99"/>
    </row>
    <row r="41" spans="2:71" ht="20.100000000000001" hidden="1" customHeight="1" thickTop="1" thickBot="1" x14ac:dyDescent="0.3">
      <c r="B41" s="44" t="s">
        <v>26</v>
      </c>
      <c r="C41" s="27"/>
      <c r="D41" s="27"/>
      <c r="E41" s="40">
        <v>1</v>
      </c>
      <c r="F41" s="40">
        <v>2</v>
      </c>
      <c r="G41" s="93">
        <f t="shared" si="9"/>
        <v>0.30833333333333335</v>
      </c>
      <c r="H41" s="94"/>
      <c r="I41" s="27"/>
      <c r="J41" s="27"/>
      <c r="K41" s="27"/>
      <c r="L41" s="40">
        <v>1</v>
      </c>
      <c r="M41" s="40">
        <v>2</v>
      </c>
      <c r="N41" s="93">
        <f t="shared" si="0"/>
        <v>-0.11851851851851747</v>
      </c>
      <c r="O41" s="94"/>
      <c r="P41" s="27"/>
      <c r="Q41" s="27"/>
      <c r="R41" s="27"/>
      <c r="S41" s="40">
        <v>1</v>
      </c>
      <c r="T41" s="40">
        <v>2</v>
      </c>
      <c r="U41" s="93">
        <f t="shared" si="1"/>
        <v>0</v>
      </c>
      <c r="V41" s="94"/>
      <c r="W41" s="27"/>
      <c r="X41" s="27"/>
      <c r="Y41" s="27"/>
      <c r="Z41" s="40">
        <v>1</v>
      </c>
      <c r="AA41" s="40">
        <v>2</v>
      </c>
      <c r="AB41" s="93">
        <f t="shared" si="2"/>
        <v>-0.13996209359965062</v>
      </c>
      <c r="AC41" s="94"/>
      <c r="AD41" s="27"/>
      <c r="AE41" s="27"/>
      <c r="AF41" s="27"/>
      <c r="AG41" s="40">
        <v>1</v>
      </c>
      <c r="AH41" s="40">
        <v>2</v>
      </c>
      <c r="AI41" s="93">
        <f t="shared" si="3"/>
        <v>0.23159071279784552</v>
      </c>
      <c r="AJ41" s="94"/>
      <c r="AK41" s="27"/>
      <c r="AL41" s="27"/>
      <c r="AM41" s="27"/>
      <c r="AN41" s="40">
        <v>1</v>
      </c>
      <c r="AO41" s="40">
        <v>2</v>
      </c>
      <c r="AP41" s="93">
        <f t="shared" si="4"/>
        <v>-8.6419753086419845E-2</v>
      </c>
      <c r="AQ41" s="94"/>
      <c r="AR41" s="27"/>
      <c r="AS41" s="27"/>
      <c r="AT41" s="27"/>
      <c r="AU41" s="40">
        <v>1</v>
      </c>
      <c r="AV41" s="40">
        <v>2</v>
      </c>
      <c r="AW41" s="93">
        <f t="shared" si="5"/>
        <v>-0.56874999999999998</v>
      </c>
      <c r="AX41" s="94"/>
      <c r="AY41" s="27"/>
      <c r="AZ41" s="27"/>
      <c r="BA41" s="27"/>
      <c r="BB41" s="40">
        <v>1</v>
      </c>
      <c r="BC41" s="40">
        <v>2</v>
      </c>
      <c r="BD41" s="93">
        <f t="shared" si="6"/>
        <v>6.3999999999992951E-3</v>
      </c>
      <c r="BE41" s="94"/>
      <c r="BF41" s="27"/>
      <c r="BG41" s="27"/>
      <c r="BH41" s="27"/>
      <c r="BI41" s="40">
        <v>1</v>
      </c>
      <c r="BJ41" s="40">
        <v>2</v>
      </c>
      <c r="BK41" s="93">
        <f t="shared" si="7"/>
        <v>0</v>
      </c>
      <c r="BL41" s="94"/>
      <c r="BM41" s="27"/>
      <c r="BN41" s="27"/>
      <c r="BO41" s="27"/>
      <c r="BP41" s="40">
        <v>1</v>
      </c>
      <c r="BQ41" s="40">
        <v>2</v>
      </c>
      <c r="BR41" s="93">
        <f t="shared" si="8"/>
        <v>1.3125</v>
      </c>
      <c r="BS41" s="97"/>
    </row>
    <row r="42" spans="2:71" ht="20.100000000000001" hidden="1" customHeight="1" x14ac:dyDescent="0.25"/>
    <row r="43" spans="2:71" ht="20.100000000000001" hidden="1" customHeight="1" x14ac:dyDescent="0.25"/>
    <row r="44" spans="2:71" ht="20.100000000000001" hidden="1" customHeight="1" x14ac:dyDescent="0.25"/>
    <row r="45" spans="2:71" ht="20.100000000000001" hidden="1" customHeight="1" x14ac:dyDescent="0.25"/>
    <row r="53" spans="3:22" ht="20.100000000000001" hidden="1" customHeight="1" x14ac:dyDescent="0.25"/>
    <row r="54" spans="3:22" ht="20.100000000000001" hidden="1" customHeight="1" x14ac:dyDescent="0.25">
      <c r="C54" s="2"/>
      <c r="D54" s="2"/>
      <c r="E54" s="2"/>
      <c r="F54" s="2"/>
      <c r="G54" s="7" t="s">
        <v>29</v>
      </c>
      <c r="H54" s="45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3:22" ht="20.100000000000001" hidden="1" customHeight="1" x14ac:dyDescent="0.25">
      <c r="C55" s="2"/>
      <c r="D55" s="46"/>
      <c r="E55" s="47"/>
      <c r="F55" s="47"/>
      <c r="G55" s="2"/>
      <c r="H55" s="1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3:22" ht="20.100000000000001" hidden="1" customHeight="1" x14ac:dyDescent="0.25">
      <c r="C56" s="2"/>
      <c r="D56" s="48"/>
      <c r="E56" s="2"/>
      <c r="F56" s="2"/>
      <c r="G56" s="1"/>
      <c r="H56" s="1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3:22" ht="20.100000000000001" hidden="1" customHeight="1" thickBot="1" x14ac:dyDescent="0.3">
      <c r="C57" s="2"/>
      <c r="D57" s="48"/>
      <c r="E57" s="2"/>
      <c r="F57" s="2"/>
      <c r="G57" s="1"/>
      <c r="H57" s="1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3:22" ht="20.100000000000001" hidden="1" customHeight="1" thickBot="1" x14ac:dyDescent="0.3">
      <c r="C58" s="2"/>
      <c r="D58" s="23">
        <v>10</v>
      </c>
      <c r="E58" s="1"/>
      <c r="F58" s="1"/>
      <c r="G58" s="1"/>
      <c r="H58" s="1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3:22" ht="20.100000000000001" hidden="1" customHeight="1" x14ac:dyDescent="0.25">
      <c r="C59" s="2"/>
      <c r="D59" s="1"/>
      <c r="E59" s="45"/>
      <c r="F59" s="45"/>
      <c r="G59" s="1">
        <f>ROW(D5)</f>
        <v>5</v>
      </c>
      <c r="H59" s="1">
        <f>COLUMN(D5)</f>
        <v>4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3:22" ht="20.100000000000001" hidden="1" customHeight="1" thickBot="1" x14ac:dyDescent="0.3">
      <c r="C60" s="2"/>
      <c r="D60" s="1"/>
      <c r="E60" s="1"/>
      <c r="F60" s="1"/>
      <c r="G60" s="1">
        <v>9</v>
      </c>
      <c r="H60" s="1">
        <v>7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3:22" ht="20.100000000000001" hidden="1" customHeight="1" thickBot="1" x14ac:dyDescent="0.3">
      <c r="C61" s="2"/>
      <c r="D61" s="49">
        <v>1</v>
      </c>
      <c r="E61" s="1"/>
      <c r="F61" s="49" t="str">
        <f>ADDRESS($G$59,$H$59+($D61-1)*$H$60,1)&amp;":"&amp;ADDRESS($G$59+$G$60-1,$H$59+($D61)*$H$60-1,1)</f>
        <v>$D$5:$J$13</v>
      </c>
      <c r="G61" s="1"/>
      <c r="H61" s="1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3:22" ht="20.100000000000001" hidden="1" customHeight="1" thickBot="1" x14ac:dyDescent="0.3">
      <c r="C62" s="2"/>
      <c r="D62" s="24">
        <v>2</v>
      </c>
      <c r="E62" s="1"/>
      <c r="F62" s="49" t="str">
        <f t="shared" ref="F62:F70" si="10">ADDRESS($G$59,$H$59+($D62-1)*$H$60,1)&amp;":"&amp;ADDRESS($G$59+$G$60-1,$H$59+($D62)*$H$60-1,1)</f>
        <v>$K$5:$Q$13</v>
      </c>
      <c r="G62" s="1"/>
      <c r="H62" s="1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3:22" ht="20.100000000000001" hidden="1" customHeight="1" thickBot="1" x14ac:dyDescent="0.3">
      <c r="C63" s="2"/>
      <c r="D63" s="24">
        <v>3</v>
      </c>
      <c r="E63" s="1"/>
      <c r="F63" s="49" t="str">
        <f t="shared" si="10"/>
        <v>$R$5:$X$13</v>
      </c>
      <c r="G63" s="1"/>
      <c r="H63" s="1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3:22" ht="20.100000000000001" hidden="1" customHeight="1" thickBot="1" x14ac:dyDescent="0.3">
      <c r="C64" s="2"/>
      <c r="D64" s="24">
        <v>4</v>
      </c>
      <c r="E64" s="1"/>
      <c r="F64" s="49" t="str">
        <f t="shared" si="10"/>
        <v>$Y$5:$AE$13</v>
      </c>
      <c r="G64" s="1"/>
      <c r="H64" s="1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3:22" ht="20.100000000000001" hidden="1" customHeight="1" thickBot="1" x14ac:dyDescent="0.3">
      <c r="C65" s="50"/>
      <c r="D65" s="24">
        <v>5</v>
      </c>
      <c r="E65" s="1"/>
      <c r="F65" s="49" t="str">
        <f t="shared" si="10"/>
        <v>$AF$5:$AL$13</v>
      </c>
      <c r="G65" s="51"/>
      <c r="H65" s="51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</row>
    <row r="66" spans="3:22" ht="20.100000000000001" hidden="1" customHeight="1" thickBot="1" x14ac:dyDescent="0.3">
      <c r="C66" s="50"/>
      <c r="D66" s="24">
        <v>6</v>
      </c>
      <c r="E66" s="1"/>
      <c r="F66" s="49" t="str">
        <f t="shared" si="10"/>
        <v>$AM$5:$AS$13</v>
      </c>
      <c r="G66" s="51"/>
      <c r="H66" s="51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</row>
    <row r="67" spans="3:22" ht="20.100000000000001" hidden="1" customHeight="1" thickBot="1" x14ac:dyDescent="0.3">
      <c r="C67" s="50"/>
      <c r="D67" s="24">
        <v>7</v>
      </c>
      <c r="E67" s="1"/>
      <c r="F67" s="49" t="str">
        <f t="shared" si="10"/>
        <v>$AT$5:$AZ$13</v>
      </c>
      <c r="G67" s="51"/>
      <c r="H67" s="51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</row>
    <row r="68" spans="3:22" ht="20.100000000000001" hidden="1" customHeight="1" thickBot="1" x14ac:dyDescent="0.3">
      <c r="C68" s="50"/>
      <c r="D68" s="24">
        <v>8</v>
      </c>
      <c r="E68" s="1"/>
      <c r="F68" s="49" t="str">
        <f t="shared" si="10"/>
        <v>$BA$5:$BG$13</v>
      </c>
      <c r="G68" s="51"/>
      <c r="H68" s="51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</row>
    <row r="69" spans="3:22" ht="20.100000000000001" hidden="1" customHeight="1" thickBot="1" x14ac:dyDescent="0.3">
      <c r="C69" s="50"/>
      <c r="D69" s="24">
        <v>9</v>
      </c>
      <c r="E69" s="1"/>
      <c r="F69" s="49" t="str">
        <f t="shared" si="10"/>
        <v>$BH$5:$BN$13</v>
      </c>
      <c r="G69" s="51"/>
      <c r="H69" s="51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</row>
    <row r="70" spans="3:22" ht="20.100000000000001" hidden="1" customHeight="1" thickBot="1" x14ac:dyDescent="0.3">
      <c r="C70" s="50"/>
      <c r="D70" s="52">
        <v>10</v>
      </c>
      <c r="E70" s="51"/>
      <c r="F70" s="49" t="str">
        <f t="shared" si="10"/>
        <v>$BO$5:$BU$13</v>
      </c>
      <c r="G70" s="51"/>
      <c r="H70" s="51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</row>
    <row r="71" spans="3:22" ht="20.100000000000001" hidden="1" customHeight="1" x14ac:dyDescent="0.25">
      <c r="C71" s="50"/>
      <c r="D71" s="53"/>
      <c r="E71" s="51"/>
      <c r="F71" s="53"/>
      <c r="G71" s="51"/>
      <c r="H71" s="51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</row>
    <row r="72" spans="3:22" ht="20.100000000000001" hidden="1" customHeight="1" x14ac:dyDescent="0.25">
      <c r="C72" s="50"/>
      <c r="D72" s="54"/>
      <c r="E72" s="51"/>
      <c r="F72" s="54"/>
      <c r="G72" s="51"/>
      <c r="H72" s="51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</row>
    <row r="73" spans="3:22" ht="20.100000000000001" hidden="1" customHeight="1" x14ac:dyDescent="0.25">
      <c r="C73" s="50"/>
      <c r="D73" s="54"/>
      <c r="E73" s="51"/>
      <c r="F73" s="55"/>
      <c r="G73" s="7" t="s">
        <v>30</v>
      </c>
      <c r="H73" s="51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</row>
    <row r="74" spans="3:22" ht="20.100000000000001" hidden="1" customHeight="1" x14ac:dyDescent="0.25">
      <c r="C74" s="50"/>
      <c r="D74" s="54"/>
      <c r="E74" s="51"/>
      <c r="F74" s="51"/>
      <c r="G74" s="51"/>
      <c r="H74" s="51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</row>
    <row r="75" spans="3:22" ht="20.100000000000001" hidden="1" customHeight="1" x14ac:dyDescent="0.25">
      <c r="C75" s="50"/>
      <c r="D75" s="54"/>
      <c r="E75" s="51"/>
      <c r="F75" s="51"/>
      <c r="G75" s="51"/>
      <c r="H75" s="51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</row>
    <row r="76" spans="3:22" ht="20.100000000000001" hidden="1" customHeight="1" x14ac:dyDescent="0.25">
      <c r="C76" s="50"/>
      <c r="D76" s="55"/>
      <c r="E76" s="56"/>
      <c r="F76" s="56"/>
      <c r="G76" s="7" t="s">
        <v>31</v>
      </c>
      <c r="H76" s="51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</row>
    <row r="77" spans="3:22" ht="20.100000000000001" hidden="1" customHeight="1" x14ac:dyDescent="0.25"/>
    <row r="78" spans="3:22" ht="20.100000000000001" hidden="1" customHeight="1" x14ac:dyDescent="0.25"/>
    <row r="79" spans="3:22" ht="20.100000000000001" hidden="1" customHeight="1" x14ac:dyDescent="0.25"/>
    <row r="80" spans="3:22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</sheetData>
  <mergeCells count="200">
    <mergeCell ref="G41:H41"/>
    <mergeCell ref="N16:O16"/>
    <mergeCell ref="N17:O17"/>
    <mergeCell ref="N18:O18"/>
    <mergeCell ref="N21:O21"/>
    <mergeCell ref="N22:O22"/>
    <mergeCell ref="N25:O25"/>
    <mergeCell ref="N26:O26"/>
    <mergeCell ref="N27:O27"/>
    <mergeCell ref="G32:H32"/>
    <mergeCell ref="G35:H35"/>
    <mergeCell ref="G36:H36"/>
    <mergeCell ref="G37:H37"/>
    <mergeCell ref="G38:H38"/>
    <mergeCell ref="G39:H39"/>
    <mergeCell ref="G26:H26"/>
    <mergeCell ref="G27:H27"/>
    <mergeCell ref="G28:H28"/>
    <mergeCell ref="G29:H29"/>
    <mergeCell ref="G30:H30"/>
    <mergeCell ref="G31:H31"/>
    <mergeCell ref="G16:H16"/>
    <mergeCell ref="G17:H17"/>
    <mergeCell ref="N36:O36"/>
    <mergeCell ref="N37:O37"/>
    <mergeCell ref="N38:O38"/>
    <mergeCell ref="N39:O39"/>
    <mergeCell ref="N40:O40"/>
    <mergeCell ref="G18:H18"/>
    <mergeCell ref="G21:H21"/>
    <mergeCell ref="G22:H22"/>
    <mergeCell ref="G25:H25"/>
    <mergeCell ref="G40:H40"/>
    <mergeCell ref="N41:O41"/>
    <mergeCell ref="N28:O28"/>
    <mergeCell ref="N29:O29"/>
    <mergeCell ref="N30:O30"/>
    <mergeCell ref="N31:O31"/>
    <mergeCell ref="N32:O32"/>
    <mergeCell ref="N35:O35"/>
    <mergeCell ref="AB16:AC16"/>
    <mergeCell ref="AB17:AC17"/>
    <mergeCell ref="AB18:AC18"/>
    <mergeCell ref="AB21:AC21"/>
    <mergeCell ref="AB22:AC22"/>
    <mergeCell ref="AB25:AC25"/>
    <mergeCell ref="AB26:AC26"/>
    <mergeCell ref="AB27:AC27"/>
    <mergeCell ref="U32:V32"/>
    <mergeCell ref="U26:V26"/>
    <mergeCell ref="U27:V27"/>
    <mergeCell ref="U28:V28"/>
    <mergeCell ref="U29:V29"/>
    <mergeCell ref="U30:V30"/>
    <mergeCell ref="U31:V31"/>
    <mergeCell ref="U16:V16"/>
    <mergeCell ref="U17:V17"/>
    <mergeCell ref="U18:V18"/>
    <mergeCell ref="U21:V21"/>
    <mergeCell ref="U22:V22"/>
    <mergeCell ref="U25:V25"/>
    <mergeCell ref="AB41:AC41"/>
    <mergeCell ref="AB28:AC28"/>
    <mergeCell ref="AB29:AC29"/>
    <mergeCell ref="AB30:AC30"/>
    <mergeCell ref="AB31:AC31"/>
    <mergeCell ref="AB32:AC32"/>
    <mergeCell ref="AB35:AC35"/>
    <mergeCell ref="U40:V40"/>
    <mergeCell ref="U41:V41"/>
    <mergeCell ref="U35:V35"/>
    <mergeCell ref="U36:V36"/>
    <mergeCell ref="U37:V37"/>
    <mergeCell ref="U38:V38"/>
    <mergeCell ref="U39:V39"/>
    <mergeCell ref="AI21:AJ21"/>
    <mergeCell ref="AI22:AJ22"/>
    <mergeCell ref="AI25:AJ25"/>
    <mergeCell ref="AB36:AC36"/>
    <mergeCell ref="AB37:AC37"/>
    <mergeCell ref="AB38:AC38"/>
    <mergeCell ref="AB39:AC39"/>
    <mergeCell ref="AB40:AC40"/>
    <mergeCell ref="AI40:AJ40"/>
    <mergeCell ref="AI41:AJ41"/>
    <mergeCell ref="AP16:AQ16"/>
    <mergeCell ref="AP17:AQ17"/>
    <mergeCell ref="AP18:AQ18"/>
    <mergeCell ref="AP21:AQ21"/>
    <mergeCell ref="AP22:AQ22"/>
    <mergeCell ref="AP25:AQ25"/>
    <mergeCell ref="AP26:AQ26"/>
    <mergeCell ref="AP27:AQ27"/>
    <mergeCell ref="AI32:AJ32"/>
    <mergeCell ref="AI35:AJ35"/>
    <mergeCell ref="AI36:AJ36"/>
    <mergeCell ref="AI37:AJ37"/>
    <mergeCell ref="AI38:AJ38"/>
    <mergeCell ref="AI39:AJ39"/>
    <mergeCell ref="AI26:AJ26"/>
    <mergeCell ref="AI27:AJ27"/>
    <mergeCell ref="AI28:AJ28"/>
    <mergeCell ref="AI29:AJ29"/>
    <mergeCell ref="AI30:AJ30"/>
    <mergeCell ref="AI31:AJ31"/>
    <mergeCell ref="AI16:AJ16"/>
    <mergeCell ref="AI17:AJ17"/>
    <mergeCell ref="AI18:AJ18"/>
    <mergeCell ref="AW16:AX16"/>
    <mergeCell ref="AW17:AX17"/>
    <mergeCell ref="AW18:AX18"/>
    <mergeCell ref="AP36:AQ36"/>
    <mergeCell ref="AP37:AQ37"/>
    <mergeCell ref="AP38:AQ38"/>
    <mergeCell ref="AP39:AQ39"/>
    <mergeCell ref="AP40:AQ40"/>
    <mergeCell ref="AP41:AQ41"/>
    <mergeCell ref="AP28:AQ28"/>
    <mergeCell ref="AP29:AQ29"/>
    <mergeCell ref="AP30:AQ30"/>
    <mergeCell ref="AP31:AQ31"/>
    <mergeCell ref="AP32:AQ32"/>
    <mergeCell ref="AP35:AQ35"/>
    <mergeCell ref="AW21:AX21"/>
    <mergeCell ref="AW22:AX22"/>
    <mergeCell ref="AW25:AX25"/>
    <mergeCell ref="AW26:AX26"/>
    <mergeCell ref="AW27:AX27"/>
    <mergeCell ref="AW28:AX28"/>
    <mergeCell ref="AW29:AX29"/>
    <mergeCell ref="AW30:AX30"/>
    <mergeCell ref="AW31:AX31"/>
    <mergeCell ref="BR16:BS16"/>
    <mergeCell ref="BR17:BS17"/>
    <mergeCell ref="BR18:BS18"/>
    <mergeCell ref="BK16:BL16"/>
    <mergeCell ref="BK17:BL17"/>
    <mergeCell ref="BK18:BL18"/>
    <mergeCell ref="BD16:BE16"/>
    <mergeCell ref="BD17:BE17"/>
    <mergeCell ref="BD18:BE18"/>
    <mergeCell ref="AW32:AX32"/>
    <mergeCell ref="BD25:BE25"/>
    <mergeCell ref="BD26:BE26"/>
    <mergeCell ref="BD27:BE27"/>
    <mergeCell ref="BD28:BE28"/>
    <mergeCell ref="BD29:BE29"/>
    <mergeCell ref="BD30:BE30"/>
    <mergeCell ref="BD31:BE31"/>
    <mergeCell ref="BD32:BE32"/>
    <mergeCell ref="AW35:AX35"/>
    <mergeCell ref="AW36:AX36"/>
    <mergeCell ref="AW37:AX37"/>
    <mergeCell ref="AW38:AX38"/>
    <mergeCell ref="AW39:AX39"/>
    <mergeCell ref="AW40:AX40"/>
    <mergeCell ref="AW41:AX41"/>
    <mergeCell ref="BD35:BE35"/>
    <mergeCell ref="BD36:BE36"/>
    <mergeCell ref="BD37:BE37"/>
    <mergeCell ref="BD38:BE38"/>
    <mergeCell ref="BD39:BE39"/>
    <mergeCell ref="BD40:BE40"/>
    <mergeCell ref="BD41:BE41"/>
    <mergeCell ref="BK38:BL38"/>
    <mergeCell ref="BK39:BL39"/>
    <mergeCell ref="BK40:BL40"/>
    <mergeCell ref="BD21:BE21"/>
    <mergeCell ref="BD22:BE22"/>
    <mergeCell ref="BK21:BL21"/>
    <mergeCell ref="BK22:BL22"/>
    <mergeCell ref="BK25:BL25"/>
    <mergeCell ref="BK26:BL26"/>
    <mergeCell ref="BK27:BL27"/>
    <mergeCell ref="BK28:BL28"/>
    <mergeCell ref="BK29:BL29"/>
    <mergeCell ref="BK41:BL41"/>
    <mergeCell ref="BR21:BS21"/>
    <mergeCell ref="BR22:BS22"/>
    <mergeCell ref="BR25:BS25"/>
    <mergeCell ref="BR26:BS26"/>
    <mergeCell ref="BR27:BS27"/>
    <mergeCell ref="BR28:BS28"/>
    <mergeCell ref="BR29:BS29"/>
    <mergeCell ref="BR30:BS30"/>
    <mergeCell ref="BR31:BS31"/>
    <mergeCell ref="BR32:BS32"/>
    <mergeCell ref="BR35:BS35"/>
    <mergeCell ref="BR36:BS36"/>
    <mergeCell ref="BR37:BS37"/>
    <mergeCell ref="BR38:BS38"/>
    <mergeCell ref="BR39:BS39"/>
    <mergeCell ref="BR40:BS40"/>
    <mergeCell ref="BR41:BS41"/>
    <mergeCell ref="BK30:BL30"/>
    <mergeCell ref="BK31:BL31"/>
    <mergeCell ref="BK32:BL32"/>
    <mergeCell ref="BK35:BL35"/>
    <mergeCell ref="BK36:BL36"/>
    <mergeCell ref="BK37:BL37"/>
  </mergeCells>
  <conditionalFormatting sqref="D5:J13">
    <cfRule type="colorScale" priority="2">
      <colorScale>
        <cfvo type="num" val="0"/>
        <cfvo type="num" val="1"/>
        <color rgb="FFFCFCFF"/>
        <color rgb="FF63BE7B"/>
      </colorScale>
    </cfRule>
  </conditionalFormatting>
  <conditionalFormatting sqref="K5:Q13">
    <cfRule type="colorScale" priority="3">
      <colorScale>
        <cfvo type="min"/>
        <cfvo type="max"/>
        <color rgb="FFFCFCFF"/>
        <color rgb="FF63BE7B"/>
      </colorScale>
    </cfRule>
  </conditionalFormatting>
  <conditionalFormatting sqref="R5:BU13">
    <cfRule type="colorScale" priority="1">
      <colorScale>
        <cfvo type="min"/>
        <cfvo type="max"/>
        <color rgb="FFFCFCFF"/>
        <color rgb="FF63BE7B"/>
      </colorScale>
    </cfRule>
  </conditionalFormatting>
  <dataValidations count="1">
    <dataValidation allowBlank="1" showInputMessage="1" showErrorMessage="1" errorTitle="Erreur de saisie" error="Seule les valeurs 0 et 1 sont acceptées." sqref="B11:B18 C4:BV13 C54:V76"/>
  </dataValidations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0</xdr:col>
                <xdr:colOff>247650</xdr:colOff>
                <xdr:row>3</xdr:row>
                <xdr:rowOff>180975</xdr:rowOff>
              </from>
              <to>
                <xdr:col>0</xdr:col>
                <xdr:colOff>1352550</xdr:colOff>
                <xdr:row>5</xdr:row>
                <xdr:rowOff>76200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30" r:id="rId6" name="CommandButton21">
          <controlPr defaultSize="0" autoLine="0" r:id="rId7">
            <anchor moveWithCells="1">
              <from>
                <xdr:col>0</xdr:col>
                <xdr:colOff>190500</xdr:colOff>
                <xdr:row>10</xdr:row>
                <xdr:rowOff>57150</xdr:rowOff>
              </from>
              <to>
                <xdr:col>1</xdr:col>
                <xdr:colOff>47625</xdr:colOff>
                <xdr:row>11</xdr:row>
                <xdr:rowOff>266700</xdr:rowOff>
              </to>
            </anchor>
          </controlPr>
        </control>
      </mc:Choice>
      <mc:Fallback>
        <control shapeId="1030" r:id="rId6" name="CommandButton21"/>
      </mc:Fallback>
    </mc:AlternateContent>
    <mc:AlternateContent xmlns:mc="http://schemas.openxmlformats.org/markup-compatibility/2006">
      <mc:Choice Requires="x14">
        <control shapeId="1031" r:id="rId8" name="CommandButton22">
          <controlPr defaultSize="0" autoLine="0" r:id="rId9">
            <anchor moveWithCells="1">
              <from>
                <xdr:col>0</xdr:col>
                <xdr:colOff>276225</xdr:colOff>
                <xdr:row>7</xdr:row>
                <xdr:rowOff>152400</xdr:rowOff>
              </from>
              <to>
                <xdr:col>1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1031" r:id="rId8" name="CommandButton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H127"/>
  <sheetViews>
    <sheetView tabSelected="1" topLeftCell="A10" zoomScale="70" zoomScaleNormal="70" workbookViewId="0">
      <selection activeCell="AY72" sqref="AY72"/>
    </sheetView>
  </sheetViews>
  <sheetFormatPr defaultColWidth="9.140625" defaultRowHeight="15" x14ac:dyDescent="0.25"/>
  <cols>
    <col min="3" max="89" width="4.7109375" customWidth="1"/>
    <col min="90" max="91" width="7.7109375" customWidth="1"/>
    <col min="92" max="104" width="9.140625" customWidth="1"/>
    <col min="105" max="105" width="15.7109375" customWidth="1"/>
  </cols>
  <sheetData>
    <row r="1" spans="3:93" ht="15.75" x14ac:dyDescent="0.25">
      <c r="C1" s="6" t="s">
        <v>0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8"/>
      <c r="BS1" s="8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</row>
    <row r="2" spans="3:93" x14ac:dyDescent="0.25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8"/>
      <c r="BS2" s="8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</row>
    <row r="3" spans="3:93" ht="24.95" customHeight="1" x14ac:dyDescent="0.35">
      <c r="C3" s="7"/>
      <c r="D3" s="7">
        <v>0</v>
      </c>
      <c r="E3" s="7"/>
      <c r="F3" s="67">
        <v>0</v>
      </c>
      <c r="G3" s="7"/>
      <c r="H3" s="7"/>
      <c r="I3" s="7"/>
      <c r="J3" s="7"/>
      <c r="K3" s="7">
        <v>1</v>
      </c>
      <c r="L3" s="7"/>
      <c r="M3" s="67">
        <v>1</v>
      </c>
      <c r="N3" s="7"/>
      <c r="O3" s="7"/>
      <c r="P3" s="7"/>
      <c r="Q3" s="7"/>
      <c r="R3" s="7">
        <v>2</v>
      </c>
      <c r="S3" s="7"/>
      <c r="T3" s="67">
        <v>2</v>
      </c>
      <c r="U3" s="7"/>
      <c r="V3" s="7"/>
      <c r="W3" s="7"/>
      <c r="X3" s="7"/>
      <c r="Y3" s="7">
        <v>3</v>
      </c>
      <c r="Z3" s="7"/>
      <c r="AA3" s="67">
        <v>3</v>
      </c>
      <c r="AB3" s="7"/>
      <c r="AC3" s="7"/>
      <c r="AD3" s="7"/>
      <c r="AE3" s="7"/>
      <c r="AF3" s="7">
        <v>4</v>
      </c>
      <c r="AG3" s="7"/>
      <c r="AH3" s="67">
        <v>4</v>
      </c>
      <c r="AI3" s="7"/>
      <c r="AJ3" s="7"/>
      <c r="AK3" s="9"/>
      <c r="AL3" s="9"/>
      <c r="AM3" s="9">
        <v>5</v>
      </c>
      <c r="AN3" s="9"/>
      <c r="AO3" s="68">
        <v>5</v>
      </c>
      <c r="AP3" s="9"/>
      <c r="AQ3" s="9"/>
      <c r="AR3" s="9"/>
      <c r="AS3" s="9"/>
      <c r="AT3" s="7">
        <v>6</v>
      </c>
      <c r="AU3" s="7"/>
      <c r="AV3" s="67">
        <v>6</v>
      </c>
      <c r="AW3" s="7"/>
      <c r="AX3" s="7"/>
      <c r="AY3" s="7"/>
      <c r="AZ3" s="7"/>
      <c r="BA3" s="7">
        <v>7</v>
      </c>
      <c r="BB3" s="7"/>
      <c r="BC3" s="67">
        <v>7</v>
      </c>
      <c r="BD3" s="7"/>
      <c r="BE3" s="7"/>
      <c r="BF3" s="7"/>
      <c r="BG3" s="7"/>
      <c r="BH3" s="7">
        <v>8</v>
      </c>
      <c r="BI3" s="7"/>
      <c r="BJ3" s="67">
        <v>8</v>
      </c>
      <c r="BK3" s="7"/>
      <c r="BL3" s="7"/>
      <c r="BM3" s="7"/>
      <c r="BN3" s="7"/>
      <c r="BO3" s="7">
        <v>9</v>
      </c>
      <c r="BP3" s="7"/>
      <c r="BQ3" s="67">
        <v>9</v>
      </c>
      <c r="BR3" s="8"/>
      <c r="BS3" s="8"/>
      <c r="BT3" s="7"/>
      <c r="BU3" s="7"/>
      <c r="BV3" s="7" t="s">
        <v>47</v>
      </c>
      <c r="BW3" s="7"/>
      <c r="BX3" s="67" t="s">
        <v>47</v>
      </c>
      <c r="BY3" s="7"/>
      <c r="BZ3" s="7"/>
      <c r="CA3" s="7"/>
      <c r="CB3" s="7"/>
      <c r="CC3" s="7" t="s">
        <v>93</v>
      </c>
      <c r="CD3" s="7"/>
      <c r="CE3" s="7" t="s">
        <v>48</v>
      </c>
      <c r="CF3" s="7"/>
      <c r="CG3" s="7"/>
      <c r="CH3" s="7"/>
      <c r="CI3" s="7"/>
      <c r="CJ3" s="7"/>
      <c r="CK3" s="7"/>
      <c r="CL3" s="7"/>
      <c r="CM3" s="7"/>
      <c r="CN3" s="7"/>
      <c r="CO3" s="7"/>
    </row>
    <row r="4" spans="3:93" ht="24.95" customHeight="1" x14ac:dyDescent="0.25">
      <c r="C4" s="7"/>
      <c r="D4" s="7"/>
      <c r="E4" s="1"/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1</v>
      </c>
      <c r="N4" s="1">
        <v>2</v>
      </c>
      <c r="O4" s="1">
        <v>3</v>
      </c>
      <c r="P4" s="1">
        <v>4</v>
      </c>
      <c r="Q4" s="1">
        <v>5</v>
      </c>
      <c r="R4" s="1">
        <v>6</v>
      </c>
      <c r="S4" s="1">
        <v>7</v>
      </c>
      <c r="T4" s="1">
        <v>1</v>
      </c>
      <c r="U4" s="1">
        <v>2</v>
      </c>
      <c r="V4" s="1">
        <v>3</v>
      </c>
      <c r="W4" s="1">
        <v>4</v>
      </c>
      <c r="X4" s="1">
        <v>5</v>
      </c>
      <c r="Y4" s="1">
        <v>6</v>
      </c>
      <c r="Z4" s="1">
        <v>7</v>
      </c>
      <c r="AA4" s="1">
        <v>1</v>
      </c>
      <c r="AB4" s="1">
        <v>2</v>
      </c>
      <c r="AC4" s="1">
        <v>3</v>
      </c>
      <c r="AD4" s="1">
        <v>4</v>
      </c>
      <c r="AE4" s="1">
        <v>5</v>
      </c>
      <c r="AF4" s="1">
        <v>6</v>
      </c>
      <c r="AG4" s="1">
        <v>7</v>
      </c>
      <c r="AH4" s="1">
        <v>1</v>
      </c>
      <c r="AI4" s="1">
        <v>2</v>
      </c>
      <c r="AJ4" s="1">
        <v>3</v>
      </c>
      <c r="AK4" s="1">
        <v>4</v>
      </c>
      <c r="AL4" s="1">
        <v>5</v>
      </c>
      <c r="AM4" s="1">
        <v>6</v>
      </c>
      <c r="AN4" s="1">
        <v>7</v>
      </c>
      <c r="AO4" s="1">
        <v>1</v>
      </c>
      <c r="AP4" s="1">
        <v>2</v>
      </c>
      <c r="AQ4" s="1">
        <v>3</v>
      </c>
      <c r="AR4" s="1">
        <v>4</v>
      </c>
      <c r="AS4" s="1">
        <v>5</v>
      </c>
      <c r="AT4" s="1">
        <v>6</v>
      </c>
      <c r="AU4" s="1">
        <v>7</v>
      </c>
      <c r="AV4" s="1">
        <v>1</v>
      </c>
      <c r="AW4" s="1">
        <v>2</v>
      </c>
      <c r="AX4" s="1">
        <v>3</v>
      </c>
      <c r="AY4" s="1">
        <v>4</v>
      </c>
      <c r="AZ4" s="1">
        <v>5</v>
      </c>
      <c r="BA4" s="1">
        <v>6</v>
      </c>
      <c r="BB4" s="1">
        <v>7</v>
      </c>
      <c r="BC4" s="1">
        <v>1</v>
      </c>
      <c r="BD4" s="1">
        <v>2</v>
      </c>
      <c r="BE4" s="1">
        <v>3</v>
      </c>
      <c r="BF4" s="1">
        <v>4</v>
      </c>
      <c r="BG4" s="1">
        <v>5</v>
      </c>
      <c r="BH4" s="1">
        <v>6</v>
      </c>
      <c r="BI4" s="1">
        <v>7</v>
      </c>
      <c r="BJ4" s="1">
        <v>1</v>
      </c>
      <c r="BK4" s="1">
        <v>2</v>
      </c>
      <c r="BL4" s="1">
        <v>3</v>
      </c>
      <c r="BM4" s="1">
        <v>4</v>
      </c>
      <c r="BN4" s="1">
        <v>5</v>
      </c>
      <c r="BO4" s="1">
        <v>6</v>
      </c>
      <c r="BP4" s="1">
        <v>7</v>
      </c>
      <c r="BQ4" s="1">
        <v>1</v>
      </c>
      <c r="BR4" s="1">
        <v>2</v>
      </c>
      <c r="BS4" s="1">
        <v>3</v>
      </c>
      <c r="BT4" s="1">
        <v>4</v>
      </c>
      <c r="BU4" s="1">
        <v>5</v>
      </c>
      <c r="BV4" s="1">
        <v>6</v>
      </c>
      <c r="BW4" s="1">
        <v>7</v>
      </c>
      <c r="BX4" s="1">
        <v>1</v>
      </c>
      <c r="BY4" s="1">
        <v>2</v>
      </c>
      <c r="BZ4" s="1">
        <v>3</v>
      </c>
      <c r="CA4" s="1">
        <v>4</v>
      </c>
      <c r="CB4" s="1">
        <v>5</v>
      </c>
      <c r="CC4" s="1">
        <v>6</v>
      </c>
      <c r="CD4" s="1">
        <v>7</v>
      </c>
      <c r="CE4" s="1">
        <v>1</v>
      </c>
      <c r="CF4" s="1">
        <v>2</v>
      </c>
      <c r="CG4" s="1">
        <v>3</v>
      </c>
      <c r="CH4" s="1">
        <v>4</v>
      </c>
      <c r="CI4" s="1">
        <v>5</v>
      </c>
      <c r="CJ4" s="1">
        <v>6</v>
      </c>
      <c r="CK4" s="1">
        <v>7</v>
      </c>
      <c r="CL4" s="7"/>
      <c r="CM4" s="7"/>
      <c r="CN4" s="7"/>
      <c r="CO4" s="7"/>
    </row>
    <row r="5" spans="3:93" ht="24.95" customHeight="1" x14ac:dyDescent="0.25">
      <c r="C5" s="7"/>
      <c r="D5" s="7"/>
      <c r="E5" s="3">
        <v>1</v>
      </c>
      <c r="F5" s="10">
        <v>0</v>
      </c>
      <c r="G5" s="11">
        <v>0</v>
      </c>
      <c r="H5" s="11">
        <v>1</v>
      </c>
      <c r="I5" s="11">
        <v>1</v>
      </c>
      <c r="J5" s="11">
        <v>1</v>
      </c>
      <c r="K5" s="11">
        <v>0</v>
      </c>
      <c r="L5" s="12">
        <v>0</v>
      </c>
      <c r="M5" s="10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2">
        <v>0</v>
      </c>
      <c r="T5" s="10">
        <v>0</v>
      </c>
      <c r="U5" s="11">
        <v>0</v>
      </c>
      <c r="V5" s="11">
        <v>1</v>
      </c>
      <c r="W5" s="11">
        <v>1</v>
      </c>
      <c r="X5" s="11">
        <v>1</v>
      </c>
      <c r="Y5" s="11">
        <v>0</v>
      </c>
      <c r="Z5" s="12">
        <v>0</v>
      </c>
      <c r="AA5" s="4">
        <v>0</v>
      </c>
      <c r="AB5" s="11">
        <v>0</v>
      </c>
      <c r="AC5" s="11">
        <v>1</v>
      </c>
      <c r="AD5" s="11">
        <v>1</v>
      </c>
      <c r="AE5" s="11">
        <v>1</v>
      </c>
      <c r="AF5" s="11">
        <v>0</v>
      </c>
      <c r="AG5" s="12">
        <v>0</v>
      </c>
      <c r="AH5" s="10">
        <v>0</v>
      </c>
      <c r="AI5" s="11">
        <v>0</v>
      </c>
      <c r="AJ5" s="11">
        <v>0</v>
      </c>
      <c r="AK5" s="11">
        <v>0</v>
      </c>
      <c r="AL5" s="11">
        <v>0</v>
      </c>
      <c r="AM5" s="11">
        <v>0</v>
      </c>
      <c r="AN5" s="12">
        <v>0</v>
      </c>
      <c r="AO5" s="10">
        <v>0</v>
      </c>
      <c r="AP5" s="11">
        <v>0</v>
      </c>
      <c r="AQ5" s="11">
        <v>1</v>
      </c>
      <c r="AR5" s="11">
        <v>1</v>
      </c>
      <c r="AS5" s="11">
        <v>1</v>
      </c>
      <c r="AT5" s="11">
        <v>0</v>
      </c>
      <c r="AU5" s="12">
        <v>0</v>
      </c>
      <c r="AV5" s="10">
        <v>0</v>
      </c>
      <c r="AW5" s="11">
        <v>0</v>
      </c>
      <c r="AX5" s="11">
        <v>1</v>
      </c>
      <c r="AY5" s="11">
        <v>1</v>
      </c>
      <c r="AZ5" s="11">
        <v>1</v>
      </c>
      <c r="BA5" s="11">
        <v>0</v>
      </c>
      <c r="BB5" s="12">
        <v>0</v>
      </c>
      <c r="BC5" s="10">
        <v>0</v>
      </c>
      <c r="BD5" s="11">
        <v>0</v>
      </c>
      <c r="BE5" s="11">
        <v>1</v>
      </c>
      <c r="BF5" s="11">
        <v>1</v>
      </c>
      <c r="BG5" s="11">
        <v>1</v>
      </c>
      <c r="BH5" s="11">
        <v>0</v>
      </c>
      <c r="BI5" s="12">
        <v>0</v>
      </c>
      <c r="BJ5" s="10">
        <v>0</v>
      </c>
      <c r="BK5" s="11">
        <v>0</v>
      </c>
      <c r="BL5" s="11">
        <v>1</v>
      </c>
      <c r="BM5" s="11">
        <v>1</v>
      </c>
      <c r="BN5" s="11">
        <v>1</v>
      </c>
      <c r="BO5" s="11">
        <v>0</v>
      </c>
      <c r="BP5" s="12">
        <v>0</v>
      </c>
      <c r="BQ5" s="10">
        <v>0</v>
      </c>
      <c r="BR5" s="11">
        <v>0</v>
      </c>
      <c r="BS5" s="11">
        <v>1</v>
      </c>
      <c r="BT5" s="11">
        <v>1</v>
      </c>
      <c r="BU5" s="11">
        <v>1</v>
      </c>
      <c r="BV5" s="11">
        <v>0</v>
      </c>
      <c r="BW5" s="12">
        <v>0</v>
      </c>
      <c r="BX5" s="10">
        <v>0</v>
      </c>
      <c r="BY5" s="11">
        <v>0</v>
      </c>
      <c r="BZ5" s="11">
        <v>0</v>
      </c>
      <c r="CA5" s="11">
        <v>0</v>
      </c>
      <c r="CB5" s="11">
        <v>0</v>
      </c>
      <c r="CC5" s="11">
        <v>0</v>
      </c>
      <c r="CD5" s="12">
        <v>0</v>
      </c>
      <c r="CE5" s="10">
        <v>0</v>
      </c>
      <c r="CF5" s="11">
        <v>0</v>
      </c>
      <c r="CG5" s="11">
        <v>1</v>
      </c>
      <c r="CH5" s="11">
        <v>1</v>
      </c>
      <c r="CI5" s="11">
        <v>1</v>
      </c>
      <c r="CJ5" s="11">
        <v>0</v>
      </c>
      <c r="CK5" s="12">
        <v>0</v>
      </c>
      <c r="CL5" s="7"/>
      <c r="CM5" s="7"/>
      <c r="CN5" s="7"/>
      <c r="CO5" s="7"/>
    </row>
    <row r="6" spans="3:93" ht="24.95" customHeight="1" x14ac:dyDescent="0.25">
      <c r="C6" s="7"/>
      <c r="D6" s="7"/>
      <c r="E6" s="3">
        <v>2</v>
      </c>
      <c r="F6" s="13">
        <v>0</v>
      </c>
      <c r="G6" s="14">
        <v>1</v>
      </c>
      <c r="H6" s="14">
        <v>0</v>
      </c>
      <c r="I6" s="14">
        <v>0</v>
      </c>
      <c r="J6" s="14">
        <v>0</v>
      </c>
      <c r="K6" s="14">
        <v>1</v>
      </c>
      <c r="L6" s="15">
        <v>0</v>
      </c>
      <c r="M6" s="13">
        <v>0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  <c r="S6" s="15">
        <v>0</v>
      </c>
      <c r="T6" s="13">
        <v>0</v>
      </c>
      <c r="U6" s="14">
        <v>0</v>
      </c>
      <c r="V6" s="14">
        <v>0</v>
      </c>
      <c r="W6" s="14">
        <v>0</v>
      </c>
      <c r="X6" s="14">
        <v>0</v>
      </c>
      <c r="Y6" s="14">
        <v>1</v>
      </c>
      <c r="Z6" s="15">
        <v>0</v>
      </c>
      <c r="AA6" s="13">
        <v>0</v>
      </c>
      <c r="AB6" s="14">
        <v>0</v>
      </c>
      <c r="AC6" s="14">
        <v>0</v>
      </c>
      <c r="AD6" s="14">
        <v>0</v>
      </c>
      <c r="AE6" s="14">
        <v>0</v>
      </c>
      <c r="AF6" s="14">
        <v>1</v>
      </c>
      <c r="AG6" s="15">
        <v>0</v>
      </c>
      <c r="AH6" s="13">
        <v>0</v>
      </c>
      <c r="AI6" s="14">
        <v>1</v>
      </c>
      <c r="AJ6" s="14">
        <v>0</v>
      </c>
      <c r="AK6" s="14">
        <v>0</v>
      </c>
      <c r="AL6" s="14">
        <v>0</v>
      </c>
      <c r="AM6" s="14">
        <v>1</v>
      </c>
      <c r="AN6" s="15">
        <v>0</v>
      </c>
      <c r="AO6" s="13">
        <v>0</v>
      </c>
      <c r="AP6" s="14">
        <v>1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13">
        <v>0</v>
      </c>
      <c r="AW6" s="14">
        <v>1</v>
      </c>
      <c r="AX6" s="14">
        <v>0</v>
      </c>
      <c r="AY6" s="14">
        <v>0</v>
      </c>
      <c r="AZ6" s="14">
        <v>0</v>
      </c>
      <c r="BA6" s="14">
        <v>0</v>
      </c>
      <c r="BB6" s="15">
        <v>0</v>
      </c>
      <c r="BC6" s="13">
        <v>0</v>
      </c>
      <c r="BD6" s="14">
        <v>0</v>
      </c>
      <c r="BE6" s="14">
        <v>0</v>
      </c>
      <c r="BF6" s="14">
        <v>0</v>
      </c>
      <c r="BG6" s="14">
        <v>0</v>
      </c>
      <c r="BH6" s="14">
        <v>1</v>
      </c>
      <c r="BI6" s="15">
        <v>0</v>
      </c>
      <c r="BJ6" s="13">
        <v>0</v>
      </c>
      <c r="BK6" s="14">
        <v>1</v>
      </c>
      <c r="BL6" s="14">
        <v>0</v>
      </c>
      <c r="BM6" s="14">
        <v>0</v>
      </c>
      <c r="BN6" s="14">
        <v>0</v>
      </c>
      <c r="BO6" s="14">
        <v>1</v>
      </c>
      <c r="BP6" s="15">
        <v>0</v>
      </c>
      <c r="BQ6" s="13">
        <v>0</v>
      </c>
      <c r="BR6" s="14">
        <v>1</v>
      </c>
      <c r="BS6" s="14">
        <v>0</v>
      </c>
      <c r="BT6" s="14">
        <v>0</v>
      </c>
      <c r="BU6" s="14">
        <v>0</v>
      </c>
      <c r="BV6" s="14">
        <v>1</v>
      </c>
      <c r="BW6" s="15">
        <v>0</v>
      </c>
      <c r="BX6" s="13">
        <v>0</v>
      </c>
      <c r="BY6" s="14">
        <v>0</v>
      </c>
      <c r="BZ6" s="14">
        <v>0</v>
      </c>
      <c r="CA6" s="14">
        <v>0</v>
      </c>
      <c r="CB6" s="14">
        <v>0</v>
      </c>
      <c r="CC6" s="14">
        <v>0</v>
      </c>
      <c r="CD6" s="15">
        <v>0</v>
      </c>
      <c r="CE6" s="13">
        <v>0</v>
      </c>
      <c r="CF6" s="14">
        <v>1</v>
      </c>
      <c r="CG6" s="14">
        <v>0</v>
      </c>
      <c r="CH6" s="14">
        <v>0</v>
      </c>
      <c r="CI6" s="14">
        <v>0</v>
      </c>
      <c r="CJ6" s="14">
        <v>0</v>
      </c>
      <c r="CK6" s="15">
        <v>0</v>
      </c>
      <c r="CL6" s="7"/>
      <c r="CM6" s="7"/>
      <c r="CN6" s="7"/>
      <c r="CO6" s="7"/>
    </row>
    <row r="7" spans="3:93" ht="24.95" customHeight="1" x14ac:dyDescent="0.25">
      <c r="C7" s="7"/>
      <c r="D7" s="7"/>
      <c r="E7" s="3">
        <v>3</v>
      </c>
      <c r="F7" s="13">
        <v>0</v>
      </c>
      <c r="G7" s="14">
        <v>1</v>
      </c>
      <c r="H7" s="14">
        <v>0</v>
      </c>
      <c r="I7" s="14">
        <v>0</v>
      </c>
      <c r="J7" s="14">
        <v>0</v>
      </c>
      <c r="K7" s="14">
        <v>1</v>
      </c>
      <c r="L7" s="15">
        <v>0</v>
      </c>
      <c r="M7" s="13">
        <v>0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  <c r="S7" s="15">
        <v>0</v>
      </c>
      <c r="T7" s="13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5">
        <v>0</v>
      </c>
      <c r="AA7" s="13">
        <v>0</v>
      </c>
      <c r="AB7" s="14">
        <v>0</v>
      </c>
      <c r="AC7" s="14">
        <v>0</v>
      </c>
      <c r="AD7" s="14">
        <v>0</v>
      </c>
      <c r="AE7" s="14">
        <v>0</v>
      </c>
      <c r="AF7" s="14">
        <v>1</v>
      </c>
      <c r="AG7" s="15">
        <v>0</v>
      </c>
      <c r="AH7" s="13">
        <v>0</v>
      </c>
      <c r="AI7" s="14">
        <v>1</v>
      </c>
      <c r="AJ7" s="14">
        <v>0</v>
      </c>
      <c r="AK7" s="14">
        <v>0</v>
      </c>
      <c r="AL7" s="14">
        <v>0</v>
      </c>
      <c r="AM7" s="14">
        <v>1</v>
      </c>
      <c r="AN7" s="15">
        <v>0</v>
      </c>
      <c r="AO7" s="13">
        <v>0</v>
      </c>
      <c r="AP7" s="14">
        <v>1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13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5">
        <v>0</v>
      </c>
      <c r="BC7" s="13">
        <v>0</v>
      </c>
      <c r="BD7" s="14">
        <v>0</v>
      </c>
      <c r="BE7" s="14">
        <v>0</v>
      </c>
      <c r="BF7" s="14">
        <v>0</v>
      </c>
      <c r="BG7" s="14">
        <v>0</v>
      </c>
      <c r="BH7" s="14">
        <v>1</v>
      </c>
      <c r="BI7" s="15">
        <v>0</v>
      </c>
      <c r="BJ7" s="13">
        <v>0</v>
      </c>
      <c r="BK7" s="14">
        <v>1</v>
      </c>
      <c r="BL7" s="14">
        <v>0</v>
      </c>
      <c r="BM7" s="14">
        <v>0</v>
      </c>
      <c r="BN7" s="14">
        <v>0</v>
      </c>
      <c r="BO7" s="14">
        <v>1</v>
      </c>
      <c r="BP7" s="15">
        <v>0</v>
      </c>
      <c r="BQ7" s="13">
        <v>0</v>
      </c>
      <c r="BR7" s="14">
        <v>1</v>
      </c>
      <c r="BS7" s="14">
        <v>0</v>
      </c>
      <c r="BT7" s="14">
        <v>0</v>
      </c>
      <c r="BU7" s="14">
        <v>0</v>
      </c>
      <c r="BV7" s="14">
        <v>1</v>
      </c>
      <c r="BW7" s="15">
        <v>0</v>
      </c>
      <c r="BX7" s="13">
        <v>0</v>
      </c>
      <c r="BY7" s="14">
        <v>0</v>
      </c>
      <c r="BZ7" s="14">
        <v>0</v>
      </c>
      <c r="CA7" s="14">
        <v>0</v>
      </c>
      <c r="CB7" s="14">
        <v>0</v>
      </c>
      <c r="CC7" s="14">
        <v>0</v>
      </c>
      <c r="CD7" s="15">
        <v>0</v>
      </c>
      <c r="CE7" s="13">
        <v>0</v>
      </c>
      <c r="CF7" s="14">
        <v>1</v>
      </c>
      <c r="CG7" s="14">
        <v>0</v>
      </c>
      <c r="CH7" s="14">
        <v>0</v>
      </c>
      <c r="CI7" s="14">
        <v>0</v>
      </c>
      <c r="CJ7" s="14">
        <v>0</v>
      </c>
      <c r="CK7" s="15">
        <v>0</v>
      </c>
      <c r="CL7" s="7"/>
      <c r="CM7" s="7"/>
      <c r="CN7" s="7"/>
      <c r="CO7" s="7"/>
    </row>
    <row r="8" spans="3:93" ht="24.95" customHeight="1" x14ac:dyDescent="0.25">
      <c r="C8" s="7"/>
      <c r="D8" s="7"/>
      <c r="E8" s="3">
        <v>4</v>
      </c>
      <c r="F8" s="13">
        <v>0</v>
      </c>
      <c r="G8" s="14">
        <v>1</v>
      </c>
      <c r="H8" s="14">
        <v>0</v>
      </c>
      <c r="I8" s="14">
        <v>0</v>
      </c>
      <c r="J8" s="14">
        <v>0</v>
      </c>
      <c r="K8" s="14">
        <v>1</v>
      </c>
      <c r="L8" s="15">
        <v>0</v>
      </c>
      <c r="M8" s="13">
        <v>0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  <c r="S8" s="15">
        <v>0</v>
      </c>
      <c r="T8" s="13">
        <v>0</v>
      </c>
      <c r="U8" s="14">
        <v>0</v>
      </c>
      <c r="V8" s="14">
        <v>0</v>
      </c>
      <c r="W8" s="14">
        <v>0</v>
      </c>
      <c r="X8" s="14">
        <v>0</v>
      </c>
      <c r="Y8" s="14">
        <v>1</v>
      </c>
      <c r="Z8" s="15">
        <v>0</v>
      </c>
      <c r="AA8" s="13">
        <v>0</v>
      </c>
      <c r="AB8" s="14">
        <v>0</v>
      </c>
      <c r="AC8" s="14">
        <v>0</v>
      </c>
      <c r="AD8" s="14">
        <v>0</v>
      </c>
      <c r="AE8" s="14">
        <v>0</v>
      </c>
      <c r="AF8" s="14">
        <v>1</v>
      </c>
      <c r="AG8" s="15">
        <v>0</v>
      </c>
      <c r="AH8" s="13">
        <v>0</v>
      </c>
      <c r="AI8" s="14">
        <v>1</v>
      </c>
      <c r="AJ8" s="14">
        <v>0</v>
      </c>
      <c r="AK8" s="14">
        <v>0</v>
      </c>
      <c r="AL8" s="14">
        <v>0</v>
      </c>
      <c r="AM8" s="14">
        <v>1</v>
      </c>
      <c r="AN8" s="15">
        <v>0</v>
      </c>
      <c r="AO8" s="13">
        <v>0</v>
      </c>
      <c r="AP8" s="14">
        <v>1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13">
        <v>0</v>
      </c>
      <c r="AW8" s="14">
        <v>1</v>
      </c>
      <c r="AX8" s="14">
        <v>0</v>
      </c>
      <c r="AY8" s="14">
        <v>0</v>
      </c>
      <c r="AZ8" s="14">
        <v>0</v>
      </c>
      <c r="BA8" s="14">
        <v>0</v>
      </c>
      <c r="BB8" s="15">
        <v>0</v>
      </c>
      <c r="BC8" s="13">
        <v>0</v>
      </c>
      <c r="BD8" s="14">
        <v>0</v>
      </c>
      <c r="BE8" s="14">
        <v>0</v>
      </c>
      <c r="BF8" s="14">
        <v>0</v>
      </c>
      <c r="BG8" s="14">
        <v>0</v>
      </c>
      <c r="BH8" s="14">
        <v>1</v>
      </c>
      <c r="BI8" s="15">
        <v>0</v>
      </c>
      <c r="BJ8" s="13">
        <v>0</v>
      </c>
      <c r="BK8" s="14">
        <v>1</v>
      </c>
      <c r="BL8" s="14">
        <v>0</v>
      </c>
      <c r="BM8" s="14">
        <v>0</v>
      </c>
      <c r="BN8" s="14">
        <v>0</v>
      </c>
      <c r="BO8" s="14">
        <v>1</v>
      </c>
      <c r="BP8" s="15">
        <v>0</v>
      </c>
      <c r="BQ8" s="13">
        <v>0</v>
      </c>
      <c r="BR8" s="14">
        <v>1</v>
      </c>
      <c r="BS8" s="14">
        <v>0</v>
      </c>
      <c r="BT8" s="14">
        <v>0</v>
      </c>
      <c r="BU8" s="14">
        <v>0</v>
      </c>
      <c r="BV8" s="14">
        <v>1</v>
      </c>
      <c r="BW8" s="15">
        <v>0</v>
      </c>
      <c r="BX8" s="13">
        <v>0</v>
      </c>
      <c r="BY8" s="14">
        <v>0</v>
      </c>
      <c r="BZ8" s="14">
        <v>0</v>
      </c>
      <c r="CA8" s="14">
        <v>0</v>
      </c>
      <c r="CB8" s="14">
        <v>0</v>
      </c>
      <c r="CC8" s="14">
        <v>0</v>
      </c>
      <c r="CD8" s="15">
        <v>0</v>
      </c>
      <c r="CE8" s="13">
        <v>0</v>
      </c>
      <c r="CF8" s="14">
        <v>1</v>
      </c>
      <c r="CG8" s="14">
        <v>0</v>
      </c>
      <c r="CH8" s="14">
        <v>0</v>
      </c>
      <c r="CI8" s="14">
        <v>0</v>
      </c>
      <c r="CJ8" s="14">
        <v>0</v>
      </c>
      <c r="CK8" s="15">
        <v>0</v>
      </c>
      <c r="CL8" s="7"/>
      <c r="CM8" s="7"/>
      <c r="CN8" s="7"/>
      <c r="CO8" s="7"/>
    </row>
    <row r="9" spans="3:93" ht="24.95" customHeight="1" x14ac:dyDescent="0.25">
      <c r="C9" s="7"/>
      <c r="D9" s="7"/>
      <c r="E9" s="3">
        <v>5</v>
      </c>
      <c r="F9" s="13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5">
        <v>0</v>
      </c>
      <c r="M9" s="13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5">
        <v>0</v>
      </c>
      <c r="T9" s="13">
        <v>0</v>
      </c>
      <c r="U9" s="14">
        <v>0</v>
      </c>
      <c r="V9" s="14">
        <v>1</v>
      </c>
      <c r="W9" s="14">
        <v>1</v>
      </c>
      <c r="X9" s="14">
        <v>1</v>
      </c>
      <c r="Y9" s="14">
        <v>0</v>
      </c>
      <c r="Z9" s="15">
        <v>0</v>
      </c>
      <c r="AA9" s="13">
        <v>0</v>
      </c>
      <c r="AB9" s="14">
        <v>0</v>
      </c>
      <c r="AC9" s="14">
        <v>1</v>
      </c>
      <c r="AD9" s="14">
        <v>1</v>
      </c>
      <c r="AE9" s="14">
        <v>1</v>
      </c>
      <c r="AF9" s="14">
        <v>0</v>
      </c>
      <c r="AG9" s="15">
        <v>0</v>
      </c>
      <c r="AH9" s="13">
        <v>0</v>
      </c>
      <c r="AI9" s="14">
        <v>0</v>
      </c>
      <c r="AJ9" s="14">
        <v>1</v>
      </c>
      <c r="AK9" s="14">
        <v>1</v>
      </c>
      <c r="AL9" s="14">
        <v>1</v>
      </c>
      <c r="AM9" s="14">
        <v>0</v>
      </c>
      <c r="AN9" s="15">
        <v>0</v>
      </c>
      <c r="AO9" s="13">
        <v>0</v>
      </c>
      <c r="AP9" s="14">
        <v>0</v>
      </c>
      <c r="AQ9" s="14">
        <v>1</v>
      </c>
      <c r="AR9" s="14">
        <v>1</v>
      </c>
      <c r="AS9" s="14">
        <v>1</v>
      </c>
      <c r="AT9" s="14">
        <v>0</v>
      </c>
      <c r="AU9" s="15">
        <v>0</v>
      </c>
      <c r="AV9" s="13">
        <v>0</v>
      </c>
      <c r="AW9" s="14">
        <v>0</v>
      </c>
      <c r="AX9" s="14">
        <v>1</v>
      </c>
      <c r="AY9" s="14">
        <v>1</v>
      </c>
      <c r="AZ9" s="14">
        <v>1</v>
      </c>
      <c r="BA9" s="14">
        <v>0</v>
      </c>
      <c r="BB9" s="15">
        <v>0</v>
      </c>
      <c r="BC9" s="13">
        <v>0</v>
      </c>
      <c r="BD9" s="14">
        <v>0</v>
      </c>
      <c r="BE9" s="14">
        <v>0</v>
      </c>
      <c r="BF9" s="14">
        <v>0</v>
      </c>
      <c r="BG9" s="14">
        <v>0</v>
      </c>
      <c r="BH9" s="14">
        <v>0</v>
      </c>
      <c r="BI9" s="15">
        <v>0</v>
      </c>
      <c r="BJ9" s="13">
        <v>0</v>
      </c>
      <c r="BK9" s="14">
        <v>0</v>
      </c>
      <c r="BL9" s="14">
        <v>1</v>
      </c>
      <c r="BM9" s="14">
        <v>1</v>
      </c>
      <c r="BN9" s="14">
        <v>1</v>
      </c>
      <c r="BO9" s="14">
        <v>0</v>
      </c>
      <c r="BP9" s="15">
        <v>0</v>
      </c>
      <c r="BQ9" s="13">
        <v>0</v>
      </c>
      <c r="BR9" s="14">
        <v>0</v>
      </c>
      <c r="BS9" s="14">
        <v>1</v>
      </c>
      <c r="BT9" s="14">
        <v>1</v>
      </c>
      <c r="BU9" s="14">
        <v>1</v>
      </c>
      <c r="BV9" s="14">
        <v>0</v>
      </c>
      <c r="BW9" s="15">
        <v>0</v>
      </c>
      <c r="BX9" s="13">
        <v>0</v>
      </c>
      <c r="BY9" s="14">
        <v>0</v>
      </c>
      <c r="BZ9" s="14">
        <v>0</v>
      </c>
      <c r="CA9" s="14">
        <v>0</v>
      </c>
      <c r="CB9" s="14">
        <v>0</v>
      </c>
      <c r="CC9" s="14">
        <v>0</v>
      </c>
      <c r="CD9" s="15">
        <v>0</v>
      </c>
      <c r="CE9" s="13">
        <v>0</v>
      </c>
      <c r="CF9" s="14">
        <v>0</v>
      </c>
      <c r="CG9" s="14">
        <v>1</v>
      </c>
      <c r="CH9" s="14">
        <v>1</v>
      </c>
      <c r="CI9" s="14">
        <v>1</v>
      </c>
      <c r="CJ9" s="14">
        <v>0</v>
      </c>
      <c r="CK9" s="15">
        <v>0</v>
      </c>
      <c r="CL9" s="7"/>
      <c r="CM9" s="7"/>
      <c r="CN9" s="7"/>
      <c r="CO9" s="7"/>
    </row>
    <row r="10" spans="3:93" ht="24.95" customHeight="1" x14ac:dyDescent="0.25">
      <c r="C10" s="7"/>
      <c r="D10" s="7"/>
      <c r="E10" s="3">
        <v>6</v>
      </c>
      <c r="F10" s="13">
        <v>0</v>
      </c>
      <c r="G10" s="14">
        <v>1</v>
      </c>
      <c r="H10" s="14">
        <v>0</v>
      </c>
      <c r="I10" s="14">
        <v>0</v>
      </c>
      <c r="J10" s="14">
        <v>0</v>
      </c>
      <c r="K10" s="14">
        <v>1</v>
      </c>
      <c r="L10" s="15">
        <v>0</v>
      </c>
      <c r="M10" s="13">
        <v>0</v>
      </c>
      <c r="N10" s="14">
        <v>0</v>
      </c>
      <c r="O10" s="14">
        <v>0</v>
      </c>
      <c r="P10" s="14">
        <v>0</v>
      </c>
      <c r="Q10" s="14">
        <v>0</v>
      </c>
      <c r="R10" s="14">
        <v>1</v>
      </c>
      <c r="S10" s="15">
        <v>0</v>
      </c>
      <c r="T10" s="13">
        <v>0</v>
      </c>
      <c r="U10" s="14">
        <v>1</v>
      </c>
      <c r="V10" s="14">
        <v>0</v>
      </c>
      <c r="W10" s="14">
        <v>0</v>
      </c>
      <c r="X10" s="14">
        <v>0</v>
      </c>
      <c r="Y10" s="14">
        <v>0</v>
      </c>
      <c r="Z10" s="15">
        <v>0</v>
      </c>
      <c r="AA10" s="13">
        <v>0</v>
      </c>
      <c r="AB10" s="14">
        <v>0</v>
      </c>
      <c r="AC10" s="14">
        <v>0</v>
      </c>
      <c r="AD10" s="14">
        <v>0</v>
      </c>
      <c r="AE10" s="14">
        <v>0</v>
      </c>
      <c r="AF10" s="14">
        <v>1</v>
      </c>
      <c r="AG10" s="15">
        <v>0</v>
      </c>
      <c r="AH10" s="13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1</v>
      </c>
      <c r="AN10" s="15">
        <v>0</v>
      </c>
      <c r="AO10" s="13">
        <v>0</v>
      </c>
      <c r="AP10" s="14">
        <v>0</v>
      </c>
      <c r="AQ10" s="14">
        <v>0</v>
      </c>
      <c r="AR10" s="14">
        <v>0</v>
      </c>
      <c r="AS10" s="14">
        <v>0</v>
      </c>
      <c r="AT10" s="14">
        <v>1</v>
      </c>
      <c r="AU10" s="15">
        <v>0</v>
      </c>
      <c r="AV10" s="13">
        <v>0</v>
      </c>
      <c r="AW10" s="14">
        <v>1</v>
      </c>
      <c r="AX10" s="14">
        <v>0</v>
      </c>
      <c r="AY10" s="14">
        <v>0</v>
      </c>
      <c r="AZ10" s="14">
        <v>0</v>
      </c>
      <c r="BA10" s="14">
        <v>1</v>
      </c>
      <c r="BB10" s="15">
        <v>0</v>
      </c>
      <c r="BC10" s="13">
        <v>0</v>
      </c>
      <c r="BD10" s="14">
        <v>0</v>
      </c>
      <c r="BE10" s="14">
        <v>0</v>
      </c>
      <c r="BF10" s="14">
        <v>0</v>
      </c>
      <c r="BG10" s="14">
        <v>0</v>
      </c>
      <c r="BH10" s="14">
        <v>1</v>
      </c>
      <c r="BI10" s="15">
        <v>0</v>
      </c>
      <c r="BJ10" s="13">
        <v>0</v>
      </c>
      <c r="BK10" s="14">
        <v>1</v>
      </c>
      <c r="BL10" s="14">
        <v>0</v>
      </c>
      <c r="BM10" s="14">
        <v>0</v>
      </c>
      <c r="BN10" s="14">
        <v>0</v>
      </c>
      <c r="BO10" s="14">
        <v>1</v>
      </c>
      <c r="BP10" s="15">
        <v>0</v>
      </c>
      <c r="BQ10" s="13">
        <v>0</v>
      </c>
      <c r="BR10" s="14">
        <v>0</v>
      </c>
      <c r="BS10" s="14">
        <v>0</v>
      </c>
      <c r="BT10" s="14">
        <v>0</v>
      </c>
      <c r="BU10" s="14">
        <v>0</v>
      </c>
      <c r="BV10" s="14">
        <v>1</v>
      </c>
      <c r="BW10" s="15">
        <v>0</v>
      </c>
      <c r="BX10" s="13">
        <v>0</v>
      </c>
      <c r="BY10" s="14">
        <v>0</v>
      </c>
      <c r="BZ10" s="14">
        <v>0</v>
      </c>
      <c r="CA10" s="14">
        <v>0</v>
      </c>
      <c r="CB10" s="14">
        <v>0</v>
      </c>
      <c r="CC10" s="14">
        <v>0</v>
      </c>
      <c r="CD10" s="15">
        <v>0</v>
      </c>
      <c r="CE10" s="13">
        <v>0</v>
      </c>
      <c r="CF10" s="14">
        <v>1</v>
      </c>
      <c r="CG10" s="14">
        <v>0</v>
      </c>
      <c r="CH10" s="14">
        <v>0</v>
      </c>
      <c r="CI10" s="14">
        <v>0</v>
      </c>
      <c r="CJ10" s="14">
        <v>0</v>
      </c>
      <c r="CK10" s="15">
        <v>0</v>
      </c>
      <c r="CL10" s="7"/>
      <c r="CM10" s="7"/>
      <c r="CN10" s="7"/>
      <c r="CO10" s="7"/>
    </row>
    <row r="11" spans="3:93" ht="24.95" customHeight="1" x14ac:dyDescent="0.25">
      <c r="C11" s="7"/>
      <c r="D11" s="7"/>
      <c r="E11" s="3">
        <v>7</v>
      </c>
      <c r="F11" s="13">
        <v>0</v>
      </c>
      <c r="G11" s="14">
        <v>1</v>
      </c>
      <c r="H11" s="14">
        <v>0</v>
      </c>
      <c r="I11" s="14">
        <v>0</v>
      </c>
      <c r="J11" s="14">
        <v>0</v>
      </c>
      <c r="K11" s="14">
        <v>1</v>
      </c>
      <c r="L11" s="15">
        <v>0</v>
      </c>
      <c r="M11" s="13">
        <v>0</v>
      </c>
      <c r="N11" s="14">
        <v>0</v>
      </c>
      <c r="O11" s="14">
        <v>0</v>
      </c>
      <c r="P11" s="14">
        <v>0</v>
      </c>
      <c r="Q11" s="14">
        <v>0</v>
      </c>
      <c r="R11" s="14">
        <v>1</v>
      </c>
      <c r="S11" s="15">
        <v>0</v>
      </c>
      <c r="T11" s="13">
        <v>0</v>
      </c>
      <c r="U11" s="14">
        <v>1</v>
      </c>
      <c r="V11" s="14">
        <v>0</v>
      </c>
      <c r="W11" s="14">
        <v>0</v>
      </c>
      <c r="X11" s="14">
        <v>0</v>
      </c>
      <c r="Y11" s="14">
        <v>0</v>
      </c>
      <c r="Z11" s="15">
        <v>0</v>
      </c>
      <c r="AA11" s="13">
        <v>0</v>
      </c>
      <c r="AB11" s="14">
        <v>0</v>
      </c>
      <c r="AC11" s="14">
        <v>0</v>
      </c>
      <c r="AD11" s="14">
        <v>0</v>
      </c>
      <c r="AE11" s="14">
        <v>0</v>
      </c>
      <c r="AF11" s="14">
        <v>1</v>
      </c>
      <c r="AG11" s="15">
        <v>0</v>
      </c>
      <c r="AH11" s="13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1</v>
      </c>
      <c r="AN11" s="15">
        <v>0</v>
      </c>
      <c r="AO11" s="13">
        <v>0</v>
      </c>
      <c r="AP11" s="14">
        <v>0</v>
      </c>
      <c r="AQ11" s="14">
        <v>0</v>
      </c>
      <c r="AR11" s="14">
        <v>0</v>
      </c>
      <c r="AS11" s="14">
        <v>0</v>
      </c>
      <c r="AT11" s="14">
        <v>1</v>
      </c>
      <c r="AU11" s="15">
        <v>0</v>
      </c>
      <c r="AV11" s="13">
        <v>0</v>
      </c>
      <c r="AW11" s="14">
        <v>1</v>
      </c>
      <c r="AX11" s="14">
        <v>0</v>
      </c>
      <c r="AY11" s="14">
        <v>0</v>
      </c>
      <c r="AZ11" s="14">
        <v>0</v>
      </c>
      <c r="BA11" s="14">
        <v>1</v>
      </c>
      <c r="BB11" s="15">
        <v>0</v>
      </c>
      <c r="BC11" s="13">
        <v>0</v>
      </c>
      <c r="BD11" s="14">
        <v>0</v>
      </c>
      <c r="BE11" s="14">
        <v>0</v>
      </c>
      <c r="BF11" s="14">
        <v>0</v>
      </c>
      <c r="BG11" s="14">
        <v>0</v>
      </c>
      <c r="BH11" s="14">
        <v>1</v>
      </c>
      <c r="BI11" s="15">
        <v>0</v>
      </c>
      <c r="BJ11" s="13">
        <v>0</v>
      </c>
      <c r="BK11" s="14">
        <v>1</v>
      </c>
      <c r="BL11" s="14">
        <v>0</v>
      </c>
      <c r="BM11" s="14">
        <v>0</v>
      </c>
      <c r="BN11" s="14">
        <v>0</v>
      </c>
      <c r="BO11" s="14">
        <v>1</v>
      </c>
      <c r="BP11" s="15">
        <v>0</v>
      </c>
      <c r="BQ11" s="13">
        <v>0</v>
      </c>
      <c r="BR11" s="14">
        <v>0</v>
      </c>
      <c r="BS11" s="14">
        <v>0</v>
      </c>
      <c r="BT11" s="14">
        <v>0</v>
      </c>
      <c r="BU11" s="14">
        <v>0</v>
      </c>
      <c r="BV11" s="14">
        <v>1</v>
      </c>
      <c r="BW11" s="15">
        <v>0</v>
      </c>
      <c r="BX11" s="13">
        <v>0</v>
      </c>
      <c r="BY11" s="14">
        <v>0</v>
      </c>
      <c r="BZ11" s="14">
        <v>0</v>
      </c>
      <c r="CA11" s="14">
        <v>0</v>
      </c>
      <c r="CB11" s="14">
        <v>0</v>
      </c>
      <c r="CC11" s="14">
        <v>0</v>
      </c>
      <c r="CD11" s="15">
        <v>0</v>
      </c>
      <c r="CE11" s="13">
        <v>0</v>
      </c>
      <c r="CF11" s="14">
        <v>1</v>
      </c>
      <c r="CG11" s="14">
        <v>0</v>
      </c>
      <c r="CH11" s="14">
        <v>0</v>
      </c>
      <c r="CI11" s="14">
        <v>0</v>
      </c>
      <c r="CJ11" s="14">
        <v>0</v>
      </c>
      <c r="CK11" s="15">
        <v>0</v>
      </c>
      <c r="CL11" s="7"/>
      <c r="CM11" s="7"/>
      <c r="CN11" s="7"/>
      <c r="CO11" s="7"/>
    </row>
    <row r="12" spans="3:93" ht="24.95" customHeight="1" x14ac:dyDescent="0.25">
      <c r="C12" s="7"/>
      <c r="D12" s="7"/>
      <c r="E12" s="3">
        <v>8</v>
      </c>
      <c r="F12" s="13">
        <v>0</v>
      </c>
      <c r="G12" s="14">
        <v>1</v>
      </c>
      <c r="H12" s="14">
        <v>0</v>
      </c>
      <c r="I12" s="14">
        <v>0</v>
      </c>
      <c r="J12" s="14">
        <v>0</v>
      </c>
      <c r="K12" s="14">
        <v>1</v>
      </c>
      <c r="L12" s="15">
        <v>0</v>
      </c>
      <c r="M12" s="13">
        <v>0</v>
      </c>
      <c r="N12" s="14">
        <v>0</v>
      </c>
      <c r="O12" s="14">
        <v>0</v>
      </c>
      <c r="P12" s="14">
        <v>0</v>
      </c>
      <c r="Q12" s="14">
        <v>0</v>
      </c>
      <c r="R12" s="14">
        <v>1</v>
      </c>
      <c r="S12" s="15">
        <v>0</v>
      </c>
      <c r="T12" s="13">
        <v>0</v>
      </c>
      <c r="U12" s="14">
        <v>1</v>
      </c>
      <c r="V12" s="14">
        <v>0</v>
      </c>
      <c r="W12" s="14">
        <v>0</v>
      </c>
      <c r="X12" s="14">
        <v>0</v>
      </c>
      <c r="Y12" s="14">
        <v>0</v>
      </c>
      <c r="Z12" s="15">
        <v>0</v>
      </c>
      <c r="AA12" s="13">
        <v>0</v>
      </c>
      <c r="AB12" s="14">
        <v>0</v>
      </c>
      <c r="AC12" s="14">
        <v>0</v>
      </c>
      <c r="AD12" s="14">
        <v>0</v>
      </c>
      <c r="AE12" s="14">
        <v>0</v>
      </c>
      <c r="AF12" s="14">
        <v>1</v>
      </c>
      <c r="AG12" s="15">
        <v>0</v>
      </c>
      <c r="AH12" s="13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1</v>
      </c>
      <c r="AN12" s="15">
        <v>0</v>
      </c>
      <c r="AO12" s="13">
        <v>0</v>
      </c>
      <c r="AP12" s="14">
        <v>0</v>
      </c>
      <c r="AQ12" s="14">
        <v>0</v>
      </c>
      <c r="AR12" s="14">
        <v>0</v>
      </c>
      <c r="AS12" s="14">
        <v>0</v>
      </c>
      <c r="AT12" s="14">
        <v>1</v>
      </c>
      <c r="AU12" s="15">
        <v>0</v>
      </c>
      <c r="AV12" s="13">
        <v>0</v>
      </c>
      <c r="AW12" s="14">
        <v>1</v>
      </c>
      <c r="AX12" s="14">
        <v>0</v>
      </c>
      <c r="AY12" s="14">
        <v>0</v>
      </c>
      <c r="AZ12" s="14">
        <v>0</v>
      </c>
      <c r="BA12" s="14">
        <v>1</v>
      </c>
      <c r="BB12" s="15">
        <v>0</v>
      </c>
      <c r="BC12" s="13">
        <v>0</v>
      </c>
      <c r="BD12" s="14">
        <v>0</v>
      </c>
      <c r="BE12" s="14">
        <v>0</v>
      </c>
      <c r="BF12" s="14">
        <v>0</v>
      </c>
      <c r="BG12" s="14">
        <v>0</v>
      </c>
      <c r="BH12" s="14">
        <v>1</v>
      </c>
      <c r="BI12" s="15">
        <v>0</v>
      </c>
      <c r="BJ12" s="13">
        <v>0</v>
      </c>
      <c r="BK12" s="14">
        <v>1</v>
      </c>
      <c r="BL12" s="14">
        <v>0</v>
      </c>
      <c r="BM12" s="14">
        <v>0</v>
      </c>
      <c r="BN12" s="14">
        <v>0</v>
      </c>
      <c r="BO12" s="14">
        <v>1</v>
      </c>
      <c r="BP12" s="15">
        <v>0</v>
      </c>
      <c r="BQ12" s="13">
        <v>0</v>
      </c>
      <c r="BR12" s="14">
        <v>0</v>
      </c>
      <c r="BS12" s="14">
        <v>0</v>
      </c>
      <c r="BT12" s="14">
        <v>0</v>
      </c>
      <c r="BU12" s="14">
        <v>0</v>
      </c>
      <c r="BV12" s="14">
        <v>1</v>
      </c>
      <c r="BW12" s="15">
        <v>0</v>
      </c>
      <c r="BX12" s="13">
        <v>0</v>
      </c>
      <c r="BY12" s="14">
        <v>0</v>
      </c>
      <c r="BZ12" s="14">
        <v>0</v>
      </c>
      <c r="CA12" s="14">
        <v>0</v>
      </c>
      <c r="CB12" s="14">
        <v>0</v>
      </c>
      <c r="CC12" s="14">
        <v>0</v>
      </c>
      <c r="CD12" s="15">
        <v>0</v>
      </c>
      <c r="CE12" s="13">
        <v>0</v>
      </c>
      <c r="CF12" s="14">
        <v>1</v>
      </c>
      <c r="CG12" s="14">
        <v>0</v>
      </c>
      <c r="CH12" s="14">
        <v>0</v>
      </c>
      <c r="CI12" s="14">
        <v>0</v>
      </c>
      <c r="CJ12" s="14">
        <v>0</v>
      </c>
      <c r="CK12" s="15">
        <v>0</v>
      </c>
      <c r="CL12" s="7"/>
      <c r="CM12" s="7"/>
      <c r="CN12" s="7"/>
      <c r="CO12" s="7"/>
    </row>
    <row r="13" spans="3:93" ht="24.95" customHeight="1" x14ac:dyDescent="0.25">
      <c r="C13" s="7"/>
      <c r="D13" s="7"/>
      <c r="E13" s="3">
        <v>9</v>
      </c>
      <c r="F13" s="19">
        <v>0</v>
      </c>
      <c r="G13" s="20">
        <v>0</v>
      </c>
      <c r="H13" s="20">
        <v>1</v>
      </c>
      <c r="I13" s="20">
        <v>1</v>
      </c>
      <c r="J13" s="20">
        <v>1</v>
      </c>
      <c r="K13" s="20">
        <v>0</v>
      </c>
      <c r="L13" s="21">
        <v>0</v>
      </c>
      <c r="M13" s="19">
        <v>0</v>
      </c>
      <c r="N13" s="20">
        <v>0</v>
      </c>
      <c r="O13" s="20">
        <v>0</v>
      </c>
      <c r="P13" s="20">
        <v>0</v>
      </c>
      <c r="Q13" s="20">
        <v>0</v>
      </c>
      <c r="R13" s="20">
        <v>0</v>
      </c>
      <c r="S13" s="21">
        <v>0</v>
      </c>
      <c r="T13" s="19">
        <v>0</v>
      </c>
      <c r="U13" s="20">
        <v>0</v>
      </c>
      <c r="V13" s="20">
        <v>1</v>
      </c>
      <c r="W13" s="20">
        <v>1</v>
      </c>
      <c r="X13" s="20">
        <v>1</v>
      </c>
      <c r="Y13" s="20">
        <v>0</v>
      </c>
      <c r="Z13" s="21">
        <v>0</v>
      </c>
      <c r="AA13" s="19">
        <v>0</v>
      </c>
      <c r="AB13" s="20">
        <v>0</v>
      </c>
      <c r="AC13" s="20">
        <v>1</v>
      </c>
      <c r="AD13" s="20">
        <v>1</v>
      </c>
      <c r="AE13" s="20">
        <v>1</v>
      </c>
      <c r="AF13" s="20">
        <v>0</v>
      </c>
      <c r="AG13" s="21">
        <v>0</v>
      </c>
      <c r="AH13" s="19">
        <v>0</v>
      </c>
      <c r="AI13" s="20">
        <v>0</v>
      </c>
      <c r="AJ13" s="20">
        <v>0</v>
      </c>
      <c r="AK13" s="20">
        <v>0</v>
      </c>
      <c r="AL13" s="20">
        <v>0</v>
      </c>
      <c r="AM13" s="20">
        <v>0</v>
      </c>
      <c r="AN13" s="21">
        <v>0</v>
      </c>
      <c r="AO13" s="19">
        <v>0</v>
      </c>
      <c r="AP13" s="20">
        <v>0</v>
      </c>
      <c r="AQ13" s="20">
        <v>1</v>
      </c>
      <c r="AR13" s="20">
        <v>1</v>
      </c>
      <c r="AS13" s="20">
        <v>1</v>
      </c>
      <c r="AT13" s="20">
        <v>0</v>
      </c>
      <c r="AU13" s="21">
        <v>0</v>
      </c>
      <c r="AV13" s="19">
        <v>0</v>
      </c>
      <c r="AW13" s="20">
        <v>0</v>
      </c>
      <c r="AX13" s="20">
        <v>1</v>
      </c>
      <c r="AY13" s="20">
        <v>1</v>
      </c>
      <c r="AZ13" s="20">
        <v>1</v>
      </c>
      <c r="BA13" s="20">
        <v>0</v>
      </c>
      <c r="BB13" s="21">
        <v>0</v>
      </c>
      <c r="BC13" s="19">
        <v>0</v>
      </c>
      <c r="BD13" s="20">
        <v>0</v>
      </c>
      <c r="BE13" s="20">
        <v>0</v>
      </c>
      <c r="BF13" s="20">
        <v>0</v>
      </c>
      <c r="BG13" s="20">
        <v>0</v>
      </c>
      <c r="BH13" s="20">
        <v>0</v>
      </c>
      <c r="BI13" s="21">
        <v>0</v>
      </c>
      <c r="BJ13" s="19">
        <v>0</v>
      </c>
      <c r="BK13" s="20">
        <v>0</v>
      </c>
      <c r="BL13" s="20">
        <v>1</v>
      </c>
      <c r="BM13" s="20">
        <v>1</v>
      </c>
      <c r="BN13" s="20">
        <v>1</v>
      </c>
      <c r="BO13" s="20">
        <v>0</v>
      </c>
      <c r="BP13" s="21">
        <v>0</v>
      </c>
      <c r="BQ13" s="19">
        <v>0</v>
      </c>
      <c r="BR13" s="20">
        <v>0</v>
      </c>
      <c r="BS13" s="20">
        <v>1</v>
      </c>
      <c r="BT13" s="20">
        <v>1</v>
      </c>
      <c r="BU13" s="20">
        <v>1</v>
      </c>
      <c r="BV13" s="20">
        <v>0</v>
      </c>
      <c r="BW13" s="21">
        <v>0</v>
      </c>
      <c r="BX13" s="19">
        <v>0</v>
      </c>
      <c r="BY13" s="20">
        <v>0</v>
      </c>
      <c r="BZ13" s="20">
        <v>0</v>
      </c>
      <c r="CA13" s="20">
        <v>0</v>
      </c>
      <c r="CB13" s="20">
        <v>0</v>
      </c>
      <c r="CC13" s="20">
        <v>1</v>
      </c>
      <c r="CD13" s="21">
        <v>0</v>
      </c>
      <c r="CE13" s="19">
        <v>0</v>
      </c>
      <c r="CF13" s="20">
        <v>0</v>
      </c>
      <c r="CG13" s="20">
        <v>1</v>
      </c>
      <c r="CH13" s="20">
        <v>1</v>
      </c>
      <c r="CI13" s="20">
        <v>1</v>
      </c>
      <c r="CJ13" s="20">
        <v>0</v>
      </c>
      <c r="CK13" s="21">
        <v>0</v>
      </c>
      <c r="CL13" s="7"/>
      <c r="CM13" s="7"/>
      <c r="CN13" s="7"/>
      <c r="CO13" s="7"/>
    </row>
    <row r="14" spans="3:93" ht="24.95" hidden="1" customHeight="1" thickBot="1" x14ac:dyDescent="0.3">
      <c r="D14" s="1"/>
      <c r="E14" s="26"/>
      <c r="F14" s="26"/>
      <c r="G14" s="26"/>
      <c r="H14" s="26"/>
      <c r="I14" s="31"/>
      <c r="V14" s="31"/>
      <c r="W14" s="31"/>
      <c r="X14" s="31"/>
      <c r="Y14" s="31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</row>
    <row r="15" spans="3:93" ht="15" hidden="1" customHeight="1" thickBot="1" x14ac:dyDescent="0.3">
      <c r="D15" s="23" t="s">
        <v>5</v>
      </c>
      <c r="E15" s="22"/>
      <c r="F15" s="22"/>
      <c r="G15" s="33" t="s">
        <v>9</v>
      </c>
      <c r="H15" s="33" t="s">
        <v>10</v>
      </c>
      <c r="I15" s="33" t="s">
        <v>8</v>
      </c>
      <c r="J15" s="33"/>
      <c r="K15" s="22"/>
      <c r="L15" s="22"/>
      <c r="M15" s="22"/>
      <c r="N15" s="33" t="s">
        <v>9</v>
      </c>
      <c r="O15" s="33" t="s">
        <v>10</v>
      </c>
      <c r="P15" s="33" t="s">
        <v>8</v>
      </c>
      <c r="Q15" s="33"/>
      <c r="R15" s="22"/>
      <c r="S15" s="22"/>
      <c r="T15" s="22"/>
      <c r="U15" s="33" t="s">
        <v>9</v>
      </c>
      <c r="V15" s="33" t="s">
        <v>10</v>
      </c>
      <c r="W15" s="33" t="s">
        <v>8</v>
      </c>
      <c r="X15" s="33"/>
      <c r="Y15" s="22"/>
      <c r="Z15" s="22"/>
      <c r="AA15" s="22"/>
      <c r="AB15" s="33" t="s">
        <v>9</v>
      </c>
      <c r="AC15" s="33" t="s">
        <v>10</v>
      </c>
      <c r="AD15" s="33" t="s">
        <v>8</v>
      </c>
      <c r="AE15" s="33"/>
      <c r="AF15" s="22"/>
      <c r="AG15" s="22"/>
      <c r="AH15" s="22"/>
      <c r="AI15" s="33" t="s">
        <v>9</v>
      </c>
      <c r="AJ15" s="33" t="s">
        <v>10</v>
      </c>
      <c r="AK15" s="33" t="s">
        <v>8</v>
      </c>
      <c r="AL15" s="33"/>
      <c r="AM15" s="22"/>
      <c r="AN15" s="22"/>
      <c r="AO15" s="22"/>
      <c r="AP15" s="33" t="s">
        <v>9</v>
      </c>
      <c r="AQ15" s="33" t="s">
        <v>10</v>
      </c>
      <c r="AR15" s="33" t="s">
        <v>8</v>
      </c>
      <c r="AS15" s="33"/>
      <c r="AT15" s="22"/>
      <c r="AU15" s="22"/>
      <c r="AV15" s="22"/>
      <c r="AW15" s="33" t="s">
        <v>9</v>
      </c>
      <c r="AX15" s="33" t="s">
        <v>10</v>
      </c>
      <c r="AY15" s="33" t="s">
        <v>8</v>
      </c>
      <c r="AZ15" s="33"/>
      <c r="BA15" s="22"/>
      <c r="BB15" s="22"/>
      <c r="BC15" s="22"/>
      <c r="BD15" s="33" t="s">
        <v>9</v>
      </c>
      <c r="BE15" s="33" t="s">
        <v>10</v>
      </c>
      <c r="BF15" s="33" t="s">
        <v>8</v>
      </c>
      <c r="BG15" s="33"/>
      <c r="BH15" s="22"/>
      <c r="BI15" s="22"/>
      <c r="BJ15" s="22"/>
      <c r="BK15" s="33" t="s">
        <v>9</v>
      </c>
      <c r="BL15" s="33" t="s">
        <v>10</v>
      </c>
      <c r="BM15" s="33" t="s">
        <v>8</v>
      </c>
      <c r="BN15" s="33"/>
      <c r="BO15" s="22"/>
      <c r="BP15" s="22"/>
      <c r="BQ15" s="22"/>
      <c r="BR15" s="33" t="s">
        <v>9</v>
      </c>
      <c r="BS15" s="33" t="s">
        <v>10</v>
      </c>
      <c r="BT15" s="33" t="s">
        <v>8</v>
      </c>
      <c r="BU15" s="34"/>
      <c r="BV15" s="22"/>
      <c r="BW15" s="22"/>
      <c r="BX15" s="22"/>
      <c r="BY15" s="33" t="s">
        <v>9</v>
      </c>
      <c r="BZ15" s="33" t="s">
        <v>10</v>
      </c>
      <c r="CA15" s="33" t="s">
        <v>8</v>
      </c>
      <c r="CB15" s="34"/>
      <c r="CC15" s="22"/>
      <c r="CD15" s="22"/>
      <c r="CE15" s="22"/>
      <c r="CF15" s="33" t="s">
        <v>9</v>
      </c>
      <c r="CG15" s="33" t="s">
        <v>10</v>
      </c>
      <c r="CH15" s="33" t="s">
        <v>8</v>
      </c>
      <c r="CI15" s="34"/>
      <c r="CJ15" s="7"/>
      <c r="CK15" s="7"/>
      <c r="CL15" s="7"/>
      <c r="CM15" s="7"/>
      <c r="CN15" s="7"/>
      <c r="CO15" s="7"/>
    </row>
    <row r="16" spans="3:93" ht="15" hidden="1" customHeight="1" thickBot="1" x14ac:dyDescent="0.3">
      <c r="D16" s="24" t="s">
        <v>2</v>
      </c>
      <c r="E16" s="26"/>
      <c r="F16" s="5"/>
      <c r="G16" s="32">
        <v>0</v>
      </c>
      <c r="H16" s="32">
        <v>0</v>
      </c>
      <c r="I16" s="108">
        <f t="array" ref="I16">SUM(Reference1*$F$4:$L$4^G16*$E$5:$E$13^H16)</f>
        <v>18</v>
      </c>
      <c r="J16" s="114"/>
      <c r="K16" s="26"/>
      <c r="L16" s="26"/>
      <c r="M16" s="26"/>
      <c r="N16" s="32">
        <v>0</v>
      </c>
      <c r="O16" s="32">
        <v>0</v>
      </c>
      <c r="P16" s="108">
        <f t="array" ref="P16">SUM(Reference2*$F$4:$L$4^G16*$E$5:$E$13^H16)</f>
        <v>6</v>
      </c>
      <c r="Q16" s="114"/>
      <c r="R16" s="26"/>
      <c r="S16" s="26"/>
      <c r="T16" s="26"/>
      <c r="U16" s="32">
        <v>0</v>
      </c>
      <c r="V16" s="32">
        <v>0</v>
      </c>
      <c r="W16" s="108">
        <f t="array" ref="W16">SUM(Reference3*$F$4:$L$4^G16*$E$5:$E$13^H16)</f>
        <v>15</v>
      </c>
      <c r="X16" s="114"/>
      <c r="Y16" s="26"/>
      <c r="Z16" s="26"/>
      <c r="AA16" s="26"/>
      <c r="AB16" s="32">
        <v>0</v>
      </c>
      <c r="AC16" s="32">
        <v>0</v>
      </c>
      <c r="AD16" s="108">
        <f t="array" ref="AD16">SUM(Reference4*$F$4:$L$4^G16*$E$5:$E$13^H16)</f>
        <v>15</v>
      </c>
      <c r="AE16" s="114"/>
      <c r="AF16" s="26"/>
      <c r="AG16" s="26"/>
      <c r="AH16" s="26"/>
      <c r="AI16" s="32">
        <v>0</v>
      </c>
      <c r="AJ16" s="32">
        <v>0</v>
      </c>
      <c r="AK16" s="108">
        <f t="array" ref="AK16">SUM(Reference5*$F$4:$L$4^G16*$E$5:$E$13^H16)</f>
        <v>12</v>
      </c>
      <c r="AL16" s="114"/>
      <c r="AM16" s="26"/>
      <c r="AN16" s="26"/>
      <c r="AO16" s="26"/>
      <c r="AP16" s="32">
        <v>0</v>
      </c>
      <c r="AQ16" s="32">
        <v>0</v>
      </c>
      <c r="AR16" s="108">
        <f t="array" ref="AR16">SUM(Reference6*$F$4:$L$4^G16*$E$5:$E$13^H16)</f>
        <v>15</v>
      </c>
      <c r="AS16" s="114"/>
      <c r="AT16" s="26"/>
      <c r="AU16" s="26"/>
      <c r="AV16" s="26"/>
      <c r="AW16" s="32">
        <v>0</v>
      </c>
      <c r="AX16" s="32">
        <v>0</v>
      </c>
      <c r="AY16" s="108">
        <f t="array" ref="AY16">SUM(Reference7*$F$4:$L$4^G16*$E$5:$E$13^H16)</f>
        <v>18</v>
      </c>
      <c r="AZ16" s="114"/>
      <c r="BA16" s="26"/>
      <c r="BB16" s="26"/>
      <c r="BC16" s="26"/>
      <c r="BD16" s="32">
        <v>0</v>
      </c>
      <c r="BE16" s="32">
        <v>0</v>
      </c>
      <c r="BF16" s="102">
        <f t="array" ref="BF16">SUM(Reference8*$F$4:$L$4^G16*$E$5:$E$13^H16)</f>
        <v>9</v>
      </c>
      <c r="BG16" s="103"/>
      <c r="BH16" s="26"/>
      <c r="BI16" s="26"/>
      <c r="BJ16" s="26"/>
      <c r="BK16" s="32">
        <v>0</v>
      </c>
      <c r="BL16" s="32">
        <v>0</v>
      </c>
      <c r="BM16" s="108">
        <f t="array" ref="BM16">SUM(Reference9*$F$4:$L$4^G16*$E$5:$E$13^H16)</f>
        <v>21</v>
      </c>
      <c r="BN16" s="114"/>
      <c r="BO16" s="26"/>
      <c r="BP16" s="26"/>
      <c r="BQ16" s="26"/>
      <c r="BR16" s="32">
        <v>0</v>
      </c>
      <c r="BS16" s="32">
        <v>0</v>
      </c>
      <c r="BT16" s="108">
        <f t="array" ref="BT16">SUM(Reference10*$F$4:$L$4^G16*$E$5:$E$13^H16)</f>
        <v>18</v>
      </c>
      <c r="BU16" s="109"/>
      <c r="BV16" s="26"/>
      <c r="BW16" s="26"/>
      <c r="BX16" s="26"/>
      <c r="BY16" s="32">
        <v>0</v>
      </c>
      <c r="BZ16" s="32">
        <v>0</v>
      </c>
      <c r="CA16" s="108">
        <f t="array" ref="CA16">SUM(Reference11*$F$4:$L$4^N16*$E$5:$E$13^O16)</f>
        <v>1</v>
      </c>
      <c r="CB16" s="109"/>
      <c r="CC16" s="26"/>
      <c r="CD16" s="26"/>
      <c r="CE16" s="26"/>
      <c r="CF16" s="32">
        <v>0</v>
      </c>
      <c r="CG16" s="32">
        <v>0</v>
      </c>
      <c r="CH16" s="108">
        <f t="array" ref="CH16">SUM(Reference12*$F$4:$L$4^U16*$E$5:$E$13^V16)</f>
        <v>15</v>
      </c>
      <c r="CI16" s="109"/>
      <c r="CJ16" s="7"/>
      <c r="CK16" s="7"/>
      <c r="CL16" s="7"/>
      <c r="CM16" s="7"/>
      <c r="CN16" s="7"/>
      <c r="CO16" s="7"/>
    </row>
    <row r="17" spans="4:112" ht="15" hidden="1" customHeight="1" thickTop="1" thickBot="1" x14ac:dyDescent="0.3">
      <c r="D17" s="24" t="s">
        <v>3</v>
      </c>
      <c r="E17" s="26"/>
      <c r="F17" s="26"/>
      <c r="G17" s="30">
        <v>0</v>
      </c>
      <c r="H17" s="30">
        <v>1</v>
      </c>
      <c r="I17" s="110">
        <f t="array" ref="I17">SUM(Reference1*$F$4:$L$4^G17*$E$5:$E$13^H17)</f>
        <v>90</v>
      </c>
      <c r="J17" s="115"/>
      <c r="K17" s="26"/>
      <c r="L17" s="26"/>
      <c r="M17" s="26"/>
      <c r="N17" s="30">
        <v>0</v>
      </c>
      <c r="O17" s="30">
        <v>1</v>
      </c>
      <c r="P17" s="110">
        <f t="array" ref="P17">SUM(Reference2*$F$4:$L$4^G17*$E$5:$E$13^H17)</f>
        <v>30</v>
      </c>
      <c r="Q17" s="115"/>
      <c r="R17" s="26"/>
      <c r="S17" s="26"/>
      <c r="T17" s="26"/>
      <c r="U17" s="30">
        <v>0</v>
      </c>
      <c r="V17" s="30">
        <v>1</v>
      </c>
      <c r="W17" s="110">
        <f t="array" ref="W17">SUM(Reference3*$F$4:$L$4^G17*$E$5:$E$13^H17)</f>
        <v>75</v>
      </c>
      <c r="X17" s="115"/>
      <c r="Y17" s="26"/>
      <c r="Z17" s="26"/>
      <c r="AA17" s="26"/>
      <c r="AB17" s="30">
        <v>0</v>
      </c>
      <c r="AC17" s="30">
        <v>1</v>
      </c>
      <c r="AD17" s="110">
        <f t="array" ref="AD17">SUM(Reference4*$F$4:$L$4^G17*$E$5:$E$13^H17)</f>
        <v>75</v>
      </c>
      <c r="AE17" s="115"/>
      <c r="AF17" s="26"/>
      <c r="AG17" s="26"/>
      <c r="AH17" s="26"/>
      <c r="AI17" s="30">
        <v>0</v>
      </c>
      <c r="AJ17" s="30">
        <v>1</v>
      </c>
      <c r="AK17" s="110">
        <f t="array" ref="AK17">SUM(Reference5*$F$4:$L$4^G17*$E$5:$E$13^H17)</f>
        <v>54</v>
      </c>
      <c r="AL17" s="115"/>
      <c r="AM17" s="26"/>
      <c r="AN17" s="26"/>
      <c r="AO17" s="26"/>
      <c r="AP17" s="30">
        <v>0</v>
      </c>
      <c r="AQ17" s="30">
        <v>1</v>
      </c>
      <c r="AR17" s="110">
        <f t="array" ref="AR17">SUM(Reference6*$F$4:$L$4^G17*$E$5:$E$13^H17)</f>
        <v>75</v>
      </c>
      <c r="AS17" s="115"/>
      <c r="AT17" s="26"/>
      <c r="AU17" s="26"/>
      <c r="AV17" s="26"/>
      <c r="AW17" s="30">
        <v>0</v>
      </c>
      <c r="AX17" s="30">
        <v>1</v>
      </c>
      <c r="AY17" s="110">
        <f t="array" ref="AY17">SUM(Reference7*$F$4:$L$4^G17*$E$5:$E$13^H17)</f>
        <v>96</v>
      </c>
      <c r="AZ17" s="115"/>
      <c r="BA17" s="26"/>
      <c r="BB17" s="26"/>
      <c r="BC17" s="26"/>
      <c r="BD17" s="30">
        <v>0</v>
      </c>
      <c r="BE17" s="30">
        <v>1</v>
      </c>
      <c r="BF17" s="104">
        <f t="array" ref="BF17">SUM(Reference8*$F$4:$L$4^G17*$E$5:$E$13^H17)</f>
        <v>33</v>
      </c>
      <c r="BG17" s="105"/>
      <c r="BH17" s="26"/>
      <c r="BI17" s="26"/>
      <c r="BJ17" s="26"/>
      <c r="BK17" s="30">
        <v>0</v>
      </c>
      <c r="BL17" s="30">
        <v>1</v>
      </c>
      <c r="BM17" s="110">
        <f t="array" ref="BM17">SUM(Reference9*$F$4:$L$4^G17*$E$5:$E$13^H17)</f>
        <v>105</v>
      </c>
      <c r="BN17" s="115"/>
      <c r="BO17" s="26"/>
      <c r="BP17" s="26"/>
      <c r="BQ17" s="26"/>
      <c r="BR17" s="30">
        <v>0</v>
      </c>
      <c r="BS17" s="30">
        <v>1</v>
      </c>
      <c r="BT17" s="110">
        <f t="array" ref="BT17">SUM(Reference10*$F$4:$L$4^G17*$E$5:$E$13^H17)</f>
        <v>84</v>
      </c>
      <c r="BU17" s="111"/>
      <c r="BV17" s="26"/>
      <c r="BW17" s="26"/>
      <c r="BX17" s="26"/>
      <c r="BY17" s="30">
        <v>0</v>
      </c>
      <c r="BZ17" s="30">
        <v>1</v>
      </c>
      <c r="CA17" s="110">
        <f t="array" ref="CA17">SUM(Reference11*$F$4:$L$4^N17*$E$5:$E$13^O17)</f>
        <v>9</v>
      </c>
      <c r="CB17" s="111"/>
      <c r="CC17" s="26"/>
      <c r="CD17" s="26"/>
      <c r="CE17" s="26"/>
      <c r="CF17" s="30">
        <v>0</v>
      </c>
      <c r="CG17" s="30">
        <v>1</v>
      </c>
      <c r="CH17" s="110">
        <f t="array" ref="CH17">SUM(Reference12*$F$4:$L$4^U17*$E$5:$E$13^V17)</f>
        <v>75</v>
      </c>
      <c r="CI17" s="111"/>
      <c r="CJ17" s="7"/>
      <c r="CK17" s="7"/>
      <c r="CL17" s="7"/>
      <c r="CM17" s="7"/>
      <c r="CN17" s="7"/>
      <c r="CO17" s="7"/>
      <c r="CS17" s="7"/>
      <c r="CT17" s="8"/>
      <c r="CU17" s="8"/>
      <c r="CV17" s="7"/>
      <c r="CW17" s="7"/>
      <c r="CX17" s="7"/>
      <c r="CY17" s="7" t="s">
        <v>1</v>
      </c>
      <c r="CZ17" s="7"/>
      <c r="DA17" s="7"/>
      <c r="DB17" s="7"/>
      <c r="DC17" s="7"/>
      <c r="DD17" s="7"/>
      <c r="DE17" s="7"/>
      <c r="DF17" s="7"/>
      <c r="DG17" s="7"/>
      <c r="DH17" s="7"/>
    </row>
    <row r="18" spans="4:112" ht="15" hidden="1" customHeight="1" thickTop="1" thickBot="1" x14ac:dyDescent="0.3">
      <c r="D18" s="25" t="s">
        <v>4</v>
      </c>
      <c r="E18" s="27"/>
      <c r="F18" s="27"/>
      <c r="G18" s="35">
        <v>1</v>
      </c>
      <c r="H18" s="35">
        <v>0</v>
      </c>
      <c r="I18" s="163">
        <f t="array" ref="I18">SUM(Reference1*$F$4:$L$4^G18*$E$5:$E$13^H18)</f>
        <v>72</v>
      </c>
      <c r="J18" s="164"/>
      <c r="K18" s="27"/>
      <c r="L18" s="27"/>
      <c r="M18" s="27"/>
      <c r="N18" s="35">
        <v>1</v>
      </c>
      <c r="O18" s="35">
        <v>0</v>
      </c>
      <c r="P18" s="163">
        <f t="array" ref="P18">SUM(Reference2*$F$4:$L$4^G18*$E$5:$E$13^H18)</f>
        <v>36</v>
      </c>
      <c r="Q18" s="164"/>
      <c r="R18" s="27"/>
      <c r="S18" s="27"/>
      <c r="T18" s="27"/>
      <c r="U18" s="35">
        <v>1</v>
      </c>
      <c r="V18" s="35">
        <v>0</v>
      </c>
      <c r="W18" s="163">
        <f t="array" ref="W18">SUM(Reference3*$F$4:$L$4^G18*$E$5:$E$13^H18)</f>
        <v>60</v>
      </c>
      <c r="X18" s="164"/>
      <c r="Y18" s="27"/>
      <c r="Z18" s="27"/>
      <c r="AA18" s="27"/>
      <c r="AB18" s="35">
        <v>1</v>
      </c>
      <c r="AC18" s="35">
        <v>0</v>
      </c>
      <c r="AD18" s="163">
        <f t="array" ref="AD18">SUM(Reference4*$F$4:$L$4^G18*$E$5:$E$13^H18)</f>
        <v>72</v>
      </c>
      <c r="AE18" s="164"/>
      <c r="AF18" s="27"/>
      <c r="AG18" s="27"/>
      <c r="AH18" s="27"/>
      <c r="AI18" s="35">
        <v>1</v>
      </c>
      <c r="AJ18" s="35">
        <v>0</v>
      </c>
      <c r="AK18" s="163">
        <f t="array" ref="AK18">SUM(Reference5*$F$4:$L$4^G18*$E$5:$E$13^H18)</f>
        <v>54</v>
      </c>
      <c r="AL18" s="164"/>
      <c r="AM18" s="27"/>
      <c r="AN18" s="27"/>
      <c r="AO18" s="27"/>
      <c r="AP18" s="35">
        <v>1</v>
      </c>
      <c r="AQ18" s="35">
        <v>0</v>
      </c>
      <c r="AR18" s="163">
        <f t="array" ref="AR18">SUM(Reference6*$F$4:$L$4^G18*$E$5:$E$13^H18)</f>
        <v>60</v>
      </c>
      <c r="AS18" s="164"/>
      <c r="AT18" s="27"/>
      <c r="AU18" s="27"/>
      <c r="AV18" s="27"/>
      <c r="AW18" s="35">
        <v>1</v>
      </c>
      <c r="AX18" s="35">
        <v>0</v>
      </c>
      <c r="AY18" s="163">
        <f t="array" ref="AY18">SUM(Reference7*$F$4:$L$4^G18*$E$5:$E$13^H18)</f>
        <v>66</v>
      </c>
      <c r="AZ18" s="164"/>
      <c r="BA18" s="27"/>
      <c r="BB18" s="27"/>
      <c r="BC18" s="27"/>
      <c r="BD18" s="35">
        <v>1</v>
      </c>
      <c r="BE18" s="35">
        <v>0</v>
      </c>
      <c r="BF18" s="165">
        <f t="array" ref="BF18">SUM(Reference8*$F$4:$L$4^G18*$E$5:$E$13^H18)</f>
        <v>48</v>
      </c>
      <c r="BG18" s="166"/>
      <c r="BH18" s="27"/>
      <c r="BI18" s="27"/>
      <c r="BJ18" s="27"/>
      <c r="BK18" s="35">
        <v>1</v>
      </c>
      <c r="BL18" s="35">
        <v>0</v>
      </c>
      <c r="BM18" s="163">
        <f t="array" ref="BM18">SUM(Reference9*$F$4:$L$4^G18*$E$5:$E$13^H18)</f>
        <v>84</v>
      </c>
      <c r="BN18" s="164"/>
      <c r="BO18" s="27"/>
      <c r="BP18" s="27"/>
      <c r="BQ18" s="27"/>
      <c r="BR18" s="35">
        <v>1</v>
      </c>
      <c r="BS18" s="35">
        <v>0</v>
      </c>
      <c r="BT18" s="163">
        <f t="array" ref="BT18">SUM(Reference10*$F$4:$L$4^G18*$E$5:$E$13^H18)</f>
        <v>78</v>
      </c>
      <c r="BU18" s="167"/>
      <c r="BV18" s="27"/>
      <c r="BW18" s="27"/>
      <c r="BX18" s="27"/>
      <c r="BY18" s="35">
        <v>1</v>
      </c>
      <c r="BZ18" s="35">
        <v>0</v>
      </c>
      <c r="CA18" s="163">
        <f t="array" ref="CA18">SUM(Reference11*$F$4:$L$4^N18*$E$5:$E$13^O18)</f>
        <v>6</v>
      </c>
      <c r="CB18" s="167"/>
      <c r="CC18" s="27"/>
      <c r="CD18" s="27"/>
      <c r="CE18" s="27"/>
      <c r="CF18" s="35">
        <v>1</v>
      </c>
      <c r="CG18" s="35">
        <v>0</v>
      </c>
      <c r="CH18" s="163">
        <f t="array" ref="CH18">SUM(Reference12*$F$4:$L$4^U18*$E$5:$E$13^V18)</f>
        <v>48</v>
      </c>
      <c r="CI18" s="167"/>
      <c r="CJ18" s="7"/>
      <c r="CK18" s="7"/>
      <c r="CL18" s="7"/>
      <c r="CM18" s="7"/>
      <c r="CN18" s="7"/>
      <c r="CO18" s="7"/>
      <c r="CS18" s="7"/>
      <c r="CT18" s="16"/>
      <c r="CU18" s="17"/>
      <c r="CV18" s="18"/>
      <c r="CW18" s="18"/>
      <c r="CX18" s="18"/>
      <c r="CY18" s="7"/>
      <c r="CZ18" s="7"/>
      <c r="DA18" s="7"/>
      <c r="DB18" s="7"/>
      <c r="DC18" s="7"/>
      <c r="DD18" s="7"/>
      <c r="DE18" s="7"/>
      <c r="DF18" s="7"/>
      <c r="DG18" s="7"/>
      <c r="DH18" s="7"/>
    </row>
    <row r="19" spans="4:112" ht="15" hidden="1" customHeight="1" thickBot="1" x14ac:dyDescent="0.3">
      <c r="D19" s="28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7"/>
      <c r="CK19" s="7"/>
      <c r="CL19" s="7"/>
      <c r="CM19" s="7"/>
      <c r="CN19" s="7"/>
      <c r="CO19" s="7"/>
      <c r="CS19" s="7"/>
      <c r="CT19" s="57"/>
      <c r="CU19" s="8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</row>
    <row r="20" spans="4:112" ht="15.75" hidden="1" thickBot="1" x14ac:dyDescent="0.3">
      <c r="D20" s="157" t="s">
        <v>19</v>
      </c>
      <c r="E20" s="158"/>
      <c r="F20" s="158"/>
      <c r="G20" s="22"/>
      <c r="H20" s="22"/>
      <c r="I20" s="33" t="s">
        <v>8</v>
      </c>
      <c r="J20" s="33"/>
      <c r="K20" s="22"/>
      <c r="L20" s="22"/>
      <c r="M20" s="22"/>
      <c r="N20" s="22"/>
      <c r="O20" s="22"/>
      <c r="P20" s="33" t="s">
        <v>8</v>
      </c>
      <c r="Q20" s="33"/>
      <c r="R20" s="22"/>
      <c r="S20" s="22"/>
      <c r="T20" s="22"/>
      <c r="U20" s="22"/>
      <c r="V20" s="22"/>
      <c r="W20" s="33" t="s">
        <v>8</v>
      </c>
      <c r="X20" s="33"/>
      <c r="Y20" s="22"/>
      <c r="Z20" s="22"/>
      <c r="AA20" s="22"/>
      <c r="AB20" s="22"/>
      <c r="AC20" s="22"/>
      <c r="AD20" s="33" t="s">
        <v>8</v>
      </c>
      <c r="AE20" s="33"/>
      <c r="AF20" s="22"/>
      <c r="AG20" s="22"/>
      <c r="AH20" s="22"/>
      <c r="AI20" s="22"/>
      <c r="AJ20" s="22"/>
      <c r="AK20" s="33" t="s">
        <v>8</v>
      </c>
      <c r="AL20" s="33"/>
      <c r="AM20" s="22"/>
      <c r="AN20" s="22"/>
      <c r="AO20" s="22"/>
      <c r="AP20" s="22"/>
      <c r="AQ20" s="22"/>
      <c r="AR20" s="33" t="s">
        <v>8</v>
      </c>
      <c r="AS20" s="33"/>
      <c r="AT20" s="22"/>
      <c r="AU20" s="22"/>
      <c r="AV20" s="22"/>
      <c r="AW20" s="22"/>
      <c r="AX20" s="22"/>
      <c r="AY20" s="33" t="s">
        <v>8</v>
      </c>
      <c r="AZ20" s="33"/>
      <c r="BA20" s="22"/>
      <c r="BB20" s="22"/>
      <c r="BC20" s="22"/>
      <c r="BD20" s="22"/>
      <c r="BE20" s="22"/>
      <c r="BF20" s="33" t="s">
        <v>8</v>
      </c>
      <c r="BG20" s="33"/>
      <c r="BH20" s="22"/>
      <c r="BI20" s="22"/>
      <c r="BJ20" s="22"/>
      <c r="BK20" s="22"/>
      <c r="BL20" s="22"/>
      <c r="BM20" s="33" t="s">
        <v>8</v>
      </c>
      <c r="BN20" s="33"/>
      <c r="BO20" s="22"/>
      <c r="BP20" s="22"/>
      <c r="BQ20" s="22"/>
      <c r="BR20" s="22"/>
      <c r="BS20" s="22"/>
      <c r="BT20" s="33" t="s">
        <v>8</v>
      </c>
      <c r="BU20" s="34"/>
      <c r="BV20" s="22"/>
      <c r="BW20" s="22"/>
      <c r="BX20" s="22"/>
      <c r="BY20" s="22"/>
      <c r="BZ20" s="22"/>
      <c r="CA20" s="33" t="s">
        <v>8</v>
      </c>
      <c r="CB20" s="34"/>
      <c r="CC20" s="22"/>
      <c r="CD20" s="22"/>
      <c r="CE20" s="22"/>
      <c r="CF20" s="22"/>
      <c r="CG20" s="22"/>
      <c r="CH20" s="33" t="s">
        <v>8</v>
      </c>
      <c r="CI20" s="34"/>
      <c r="CJ20" s="7"/>
      <c r="CK20" s="7"/>
      <c r="CL20" s="7"/>
      <c r="CM20" s="7"/>
      <c r="CN20" s="7"/>
      <c r="CO20" s="7"/>
      <c r="CS20" s="7"/>
      <c r="CT20" s="57"/>
      <c r="CU20" s="8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</row>
    <row r="21" spans="4:112" ht="15.75" hidden="1" thickBot="1" x14ac:dyDescent="0.3">
      <c r="D21" s="36" t="s">
        <v>6</v>
      </c>
      <c r="E21" s="26"/>
      <c r="F21" s="26"/>
      <c r="G21" s="26"/>
      <c r="H21" s="26"/>
      <c r="I21" s="95">
        <f>I18/I16</f>
        <v>4</v>
      </c>
      <c r="J21" s="101"/>
      <c r="K21" s="26"/>
      <c r="L21" s="26"/>
      <c r="M21" s="26"/>
      <c r="N21" s="26"/>
      <c r="O21" s="26"/>
      <c r="P21" s="95">
        <f>P18/P16</f>
        <v>6</v>
      </c>
      <c r="Q21" s="101"/>
      <c r="R21" s="26"/>
      <c r="S21" s="26"/>
      <c r="T21" s="26"/>
      <c r="U21" s="26"/>
      <c r="V21" s="26"/>
      <c r="W21" s="95">
        <f>W18/W16</f>
        <v>4</v>
      </c>
      <c r="X21" s="101"/>
      <c r="Y21" s="26"/>
      <c r="Z21" s="26"/>
      <c r="AA21" s="26"/>
      <c r="AB21" s="26"/>
      <c r="AC21" s="26"/>
      <c r="AD21" s="95">
        <f>AD18/AD16</f>
        <v>4.8</v>
      </c>
      <c r="AE21" s="101"/>
      <c r="AF21" s="26"/>
      <c r="AG21" s="26"/>
      <c r="AH21" s="26"/>
      <c r="AI21" s="26"/>
      <c r="AJ21" s="26"/>
      <c r="AK21" s="95">
        <f>AK18/AK16</f>
        <v>4.5</v>
      </c>
      <c r="AL21" s="101"/>
      <c r="AM21" s="26"/>
      <c r="AN21" s="26"/>
      <c r="AO21" s="26"/>
      <c r="AP21" s="26"/>
      <c r="AQ21" s="26"/>
      <c r="AR21" s="95">
        <f>AR18/AR16</f>
        <v>4</v>
      </c>
      <c r="AS21" s="101"/>
      <c r="AT21" s="26"/>
      <c r="AU21" s="26"/>
      <c r="AV21" s="26"/>
      <c r="AW21" s="26"/>
      <c r="AX21" s="26"/>
      <c r="AY21" s="95">
        <f>AY18/AY16</f>
        <v>3.6666666666666665</v>
      </c>
      <c r="AZ21" s="101"/>
      <c r="BA21" s="26"/>
      <c r="BB21" s="26"/>
      <c r="BC21" s="26"/>
      <c r="BD21" s="26"/>
      <c r="BE21" s="26"/>
      <c r="BF21" s="95">
        <f>BF18/BF16</f>
        <v>5.333333333333333</v>
      </c>
      <c r="BG21" s="101"/>
      <c r="BH21" s="26"/>
      <c r="BI21" s="26"/>
      <c r="BJ21" s="26"/>
      <c r="BK21" s="26"/>
      <c r="BL21" s="26"/>
      <c r="BM21" s="95">
        <f>BM18/BM16</f>
        <v>4</v>
      </c>
      <c r="BN21" s="101"/>
      <c r="BO21" s="26"/>
      <c r="BP21" s="26"/>
      <c r="BQ21" s="26"/>
      <c r="BR21" s="26"/>
      <c r="BS21" s="26"/>
      <c r="BT21" s="95">
        <f>BT18/BT16</f>
        <v>4.333333333333333</v>
      </c>
      <c r="BU21" s="96"/>
      <c r="BV21" s="26"/>
      <c r="BW21" s="26"/>
      <c r="BX21" s="26"/>
      <c r="BY21" s="26"/>
      <c r="BZ21" s="26"/>
      <c r="CA21" s="95">
        <f>CA18/CA16</f>
        <v>6</v>
      </c>
      <c r="CB21" s="96"/>
      <c r="CC21" s="26"/>
      <c r="CD21" s="26"/>
      <c r="CE21" s="26"/>
      <c r="CF21" s="26"/>
      <c r="CG21" s="26"/>
      <c r="CH21" s="95">
        <f>CH18/CH16</f>
        <v>3.2</v>
      </c>
      <c r="CI21" s="96"/>
      <c r="CJ21" s="7"/>
      <c r="CK21" s="7"/>
      <c r="CL21" s="7"/>
      <c r="CM21" s="7"/>
      <c r="CN21" s="7"/>
      <c r="CO21" s="7"/>
      <c r="CS21" s="7"/>
      <c r="CT21" s="58">
        <v>12</v>
      </c>
      <c r="CU21" s="8"/>
      <c r="CV21" s="162"/>
      <c r="CW21" s="162"/>
      <c r="CX21" s="162"/>
      <c r="CY21" s="7"/>
      <c r="CZ21" s="7">
        <f>ROW(F5)</f>
        <v>5</v>
      </c>
      <c r="DA21" s="7">
        <f>COLUMN(F5)</f>
        <v>6</v>
      </c>
      <c r="DB21" s="7">
        <v>9</v>
      </c>
      <c r="DC21" s="7">
        <v>7</v>
      </c>
      <c r="DD21" s="7"/>
      <c r="DE21" s="7"/>
      <c r="DF21" s="7"/>
      <c r="DG21" s="7"/>
      <c r="DH21" s="7"/>
    </row>
    <row r="22" spans="4:112" ht="16.5" hidden="1" thickTop="1" thickBot="1" x14ac:dyDescent="0.3">
      <c r="D22" s="37" t="s">
        <v>7</v>
      </c>
      <c r="E22" s="27"/>
      <c r="F22" s="27"/>
      <c r="G22" s="27"/>
      <c r="H22" s="27"/>
      <c r="I22" s="93">
        <f>I17/I16</f>
        <v>5</v>
      </c>
      <c r="J22" s="94"/>
      <c r="K22" s="27"/>
      <c r="L22" s="27"/>
      <c r="M22" s="27"/>
      <c r="N22" s="27"/>
      <c r="O22" s="27"/>
      <c r="P22" s="93">
        <f>P17/P16</f>
        <v>5</v>
      </c>
      <c r="Q22" s="94"/>
      <c r="R22" s="27"/>
      <c r="S22" s="27"/>
      <c r="T22" s="27"/>
      <c r="U22" s="27"/>
      <c r="V22" s="27"/>
      <c r="W22" s="93">
        <f>W17/W16</f>
        <v>5</v>
      </c>
      <c r="X22" s="94"/>
      <c r="Y22" s="27"/>
      <c r="Z22" s="27"/>
      <c r="AA22" s="27"/>
      <c r="AB22" s="27"/>
      <c r="AC22" s="27"/>
      <c r="AD22" s="93">
        <f>AD17/AD16</f>
        <v>5</v>
      </c>
      <c r="AE22" s="94"/>
      <c r="AF22" s="27"/>
      <c r="AG22" s="27"/>
      <c r="AH22" s="27"/>
      <c r="AI22" s="27"/>
      <c r="AJ22" s="27"/>
      <c r="AK22" s="93">
        <f>AK17/AK16</f>
        <v>4.5</v>
      </c>
      <c r="AL22" s="94"/>
      <c r="AM22" s="27"/>
      <c r="AN22" s="27"/>
      <c r="AO22" s="27"/>
      <c r="AP22" s="27"/>
      <c r="AQ22" s="27"/>
      <c r="AR22" s="93">
        <f>AR17/AR16</f>
        <v>5</v>
      </c>
      <c r="AS22" s="94"/>
      <c r="AT22" s="27"/>
      <c r="AU22" s="27"/>
      <c r="AV22" s="27"/>
      <c r="AW22" s="27"/>
      <c r="AX22" s="27"/>
      <c r="AY22" s="93">
        <f>AY17/AY16</f>
        <v>5.333333333333333</v>
      </c>
      <c r="AZ22" s="94"/>
      <c r="BA22" s="27"/>
      <c r="BB22" s="27"/>
      <c r="BC22" s="27"/>
      <c r="BD22" s="27"/>
      <c r="BE22" s="27"/>
      <c r="BF22" s="93">
        <f>BF17/BF16</f>
        <v>3.6666666666666665</v>
      </c>
      <c r="BG22" s="94"/>
      <c r="BH22" s="27"/>
      <c r="BI22" s="27"/>
      <c r="BJ22" s="27"/>
      <c r="BK22" s="27"/>
      <c r="BL22" s="27"/>
      <c r="BM22" s="93">
        <f>BM17/BM16</f>
        <v>5</v>
      </c>
      <c r="BN22" s="94"/>
      <c r="BO22" s="27"/>
      <c r="BP22" s="27"/>
      <c r="BQ22" s="27"/>
      <c r="BR22" s="27"/>
      <c r="BS22" s="27"/>
      <c r="BT22" s="93">
        <f>BT17/BT16</f>
        <v>4.666666666666667</v>
      </c>
      <c r="BU22" s="97"/>
      <c r="BV22" s="27"/>
      <c r="BW22" s="27"/>
      <c r="BX22" s="27"/>
      <c r="BY22" s="27"/>
      <c r="BZ22" s="27"/>
      <c r="CA22" s="93">
        <f>CA17/CA16</f>
        <v>9</v>
      </c>
      <c r="CB22" s="97"/>
      <c r="CC22" s="27"/>
      <c r="CD22" s="27"/>
      <c r="CE22" s="27"/>
      <c r="CF22" s="27"/>
      <c r="CG22" s="27"/>
      <c r="CH22" s="93">
        <f>CH17/CH16</f>
        <v>5</v>
      </c>
      <c r="CI22" s="97"/>
      <c r="CJ22" s="7"/>
      <c r="CK22" s="7"/>
      <c r="CL22" s="7"/>
      <c r="CM22" s="7"/>
      <c r="CN22" s="7"/>
      <c r="CO22" s="7"/>
      <c r="CS22" s="7"/>
      <c r="CT22" s="8"/>
      <c r="CU22" s="8"/>
      <c r="CV22" s="8"/>
      <c r="CW22" s="8"/>
      <c r="CX22" s="8"/>
      <c r="CY22" s="7"/>
      <c r="CZ22" s="7"/>
      <c r="DA22" s="7"/>
      <c r="DB22" s="7"/>
      <c r="DC22" s="7"/>
      <c r="DD22" s="7"/>
      <c r="DE22" s="7"/>
      <c r="DF22" s="7"/>
      <c r="DG22" s="7"/>
      <c r="DH22" s="7"/>
    </row>
    <row r="23" spans="4:112" ht="15.75" hidden="1" thickBot="1" x14ac:dyDescent="0.3">
      <c r="CJ23" s="7"/>
      <c r="CK23" s="7"/>
      <c r="CL23" s="7"/>
      <c r="CM23" s="7"/>
      <c r="CN23" s="7"/>
      <c r="CO23" s="7"/>
      <c r="CS23" s="7"/>
      <c r="CT23" s="59">
        <v>1</v>
      </c>
      <c r="CU23" s="8"/>
      <c r="CV23" s="59" t="s">
        <v>35</v>
      </c>
      <c r="CW23" s="8"/>
      <c r="CX23" s="59" t="str">
        <f>ADDRESS($CZ$21,$DA$21+($CT23-1)*$DC$21,1)&amp;":"&amp;ADDRESS($CZ$21+$DB$21-1,$DA$21+($CT23)*$DC$21-1,1)</f>
        <v>$F$5:$L$13</v>
      </c>
      <c r="CY23" s="7"/>
      <c r="DD23" s="7"/>
      <c r="DE23" s="7"/>
      <c r="DF23" s="7"/>
      <c r="DG23" s="7"/>
      <c r="DH23" s="7"/>
    </row>
    <row r="24" spans="4:112" ht="15.75" hidden="1" thickBot="1" x14ac:dyDescent="0.3">
      <c r="D24" s="42" t="s">
        <v>27</v>
      </c>
      <c r="E24" s="22"/>
      <c r="F24" s="22"/>
      <c r="G24" s="33" t="s">
        <v>9</v>
      </c>
      <c r="H24" s="33" t="s">
        <v>10</v>
      </c>
      <c r="I24" s="33" t="s">
        <v>8</v>
      </c>
      <c r="J24" s="33"/>
      <c r="K24" s="22"/>
      <c r="L24" s="22"/>
      <c r="M24" s="22"/>
      <c r="N24" s="33" t="s">
        <v>9</v>
      </c>
      <c r="O24" s="33" t="s">
        <v>10</v>
      </c>
      <c r="P24" s="33" t="s">
        <v>8</v>
      </c>
      <c r="Q24" s="33"/>
      <c r="R24" s="22"/>
      <c r="S24" s="22"/>
      <c r="T24" s="22"/>
      <c r="U24" s="33" t="s">
        <v>9</v>
      </c>
      <c r="V24" s="33" t="s">
        <v>10</v>
      </c>
      <c r="W24" s="33" t="s">
        <v>8</v>
      </c>
      <c r="X24" s="33"/>
      <c r="Y24" s="22"/>
      <c r="Z24" s="22"/>
      <c r="AA24" s="22"/>
      <c r="AB24" s="33" t="s">
        <v>9</v>
      </c>
      <c r="AC24" s="33" t="s">
        <v>10</v>
      </c>
      <c r="AD24" s="33" t="s">
        <v>8</v>
      </c>
      <c r="AE24" s="33"/>
      <c r="AF24" s="22"/>
      <c r="AG24" s="22"/>
      <c r="AH24" s="22"/>
      <c r="AI24" s="33" t="s">
        <v>9</v>
      </c>
      <c r="AJ24" s="33" t="s">
        <v>10</v>
      </c>
      <c r="AK24" s="33" t="s">
        <v>8</v>
      </c>
      <c r="AL24" s="33"/>
      <c r="AM24" s="22"/>
      <c r="AN24" s="22"/>
      <c r="AO24" s="22"/>
      <c r="AP24" s="33" t="s">
        <v>9</v>
      </c>
      <c r="AQ24" s="33" t="s">
        <v>10</v>
      </c>
      <c r="AR24" s="33" t="s">
        <v>8</v>
      </c>
      <c r="AS24" s="33"/>
      <c r="AT24" s="22"/>
      <c r="AU24" s="22"/>
      <c r="AV24" s="22"/>
      <c r="AW24" s="33" t="s">
        <v>9</v>
      </c>
      <c r="AX24" s="33" t="s">
        <v>10</v>
      </c>
      <c r="AY24" s="33" t="s">
        <v>8</v>
      </c>
      <c r="AZ24" s="33"/>
      <c r="BA24" s="22"/>
      <c r="BB24" s="22"/>
      <c r="BC24" s="22"/>
      <c r="BD24" s="33" t="s">
        <v>9</v>
      </c>
      <c r="BE24" s="33" t="s">
        <v>10</v>
      </c>
      <c r="BF24" s="33" t="s">
        <v>8</v>
      </c>
      <c r="BG24" s="33"/>
      <c r="BH24" s="22"/>
      <c r="BI24" s="22"/>
      <c r="BJ24" s="22"/>
      <c r="BK24" s="33" t="s">
        <v>9</v>
      </c>
      <c r="BL24" s="33" t="s">
        <v>10</v>
      </c>
      <c r="BM24" s="33" t="s">
        <v>8</v>
      </c>
      <c r="BN24" s="33"/>
      <c r="BO24" s="22"/>
      <c r="BP24" s="22"/>
      <c r="BQ24" s="22"/>
      <c r="BR24" s="33" t="s">
        <v>9</v>
      </c>
      <c r="BS24" s="33" t="s">
        <v>10</v>
      </c>
      <c r="BT24" s="33" t="s">
        <v>8</v>
      </c>
      <c r="BU24" s="34"/>
      <c r="BV24" s="22"/>
      <c r="BW24" s="22"/>
      <c r="BX24" s="22"/>
      <c r="BY24" s="33" t="s">
        <v>9</v>
      </c>
      <c r="BZ24" s="33" t="s">
        <v>10</v>
      </c>
      <c r="CA24" s="33" t="s">
        <v>8</v>
      </c>
      <c r="CB24" s="34"/>
      <c r="CC24" s="22"/>
      <c r="CD24" s="22"/>
      <c r="CE24" s="22"/>
      <c r="CF24" s="33" t="s">
        <v>9</v>
      </c>
      <c r="CG24" s="33" t="s">
        <v>10</v>
      </c>
      <c r="CH24" s="33" t="s">
        <v>8</v>
      </c>
      <c r="CI24" s="34"/>
      <c r="CJ24" s="7"/>
      <c r="CK24" s="7"/>
      <c r="CL24" s="7"/>
      <c r="CM24" s="7"/>
      <c r="CN24" s="7"/>
      <c r="CO24" s="7"/>
      <c r="CS24" s="7"/>
      <c r="CT24" s="60">
        <v>2</v>
      </c>
      <c r="CU24" s="8"/>
      <c r="CV24" s="60" t="s">
        <v>36</v>
      </c>
      <c r="CW24" s="8"/>
      <c r="CX24" s="59" t="str">
        <f t="shared" ref="CX24:CX34" si="0">ADDRESS($CZ$21,$DA$21+($CT24-1)*$DC$21,1)&amp;":"&amp;ADDRESS($CZ$21+$DB$21-1,$DA$21+($CT24)*$DC$21-1,1)</f>
        <v>$M$5:$S$13</v>
      </c>
      <c r="CY24" s="7"/>
      <c r="CZ24" s="7"/>
      <c r="DA24" s="7"/>
      <c r="DB24" s="7"/>
      <c r="DC24" s="7"/>
      <c r="DD24" s="7"/>
      <c r="DE24" s="7"/>
      <c r="DF24" s="7"/>
      <c r="DG24" s="7"/>
      <c r="DH24" s="7"/>
    </row>
    <row r="25" spans="4:112" ht="15.75" hidden="1" thickBot="1" x14ac:dyDescent="0.3">
      <c r="D25" s="43" t="s">
        <v>11</v>
      </c>
      <c r="E25" s="26"/>
      <c r="F25" s="26"/>
      <c r="G25" s="41">
        <v>0</v>
      </c>
      <c r="H25" s="41">
        <v>0</v>
      </c>
      <c r="I25" s="95">
        <f t="array" ref="I25">SUM(Reference1*IFERROR(($F$4:$L$4-$I$21)^G25,1)*IFERROR(($E$5:$E$13-$I$22)^H25,1))</f>
        <v>18</v>
      </c>
      <c r="J25" s="101"/>
      <c r="K25" s="26"/>
      <c r="L25" s="26"/>
      <c r="M25" s="26"/>
      <c r="N25" s="41">
        <v>0</v>
      </c>
      <c r="O25" s="41">
        <v>0</v>
      </c>
      <c r="P25" s="95">
        <f t="array" ref="P25">SUM(Reference2*IFERROR(($F$4:$L$4-$P$21)^N25,1)*IFERROR(($E$5:$E$13-$P$22)^O25,1))</f>
        <v>6</v>
      </c>
      <c r="Q25" s="101"/>
      <c r="R25" s="26"/>
      <c r="S25" s="26"/>
      <c r="T25" s="26"/>
      <c r="U25" s="41">
        <v>0</v>
      </c>
      <c r="V25" s="41">
        <v>0</v>
      </c>
      <c r="W25" s="95">
        <f t="array" ref="W25">SUM(Reference3*IFERROR(($F$4:$L$4-$W$21)^U25,1)*IFERROR(($E$5:$E$13-$W$22)^V25,1))</f>
        <v>15</v>
      </c>
      <c r="X25" s="101"/>
      <c r="Y25" s="26"/>
      <c r="Z25" s="26"/>
      <c r="AA25" s="26"/>
      <c r="AB25" s="41">
        <v>0</v>
      </c>
      <c r="AC25" s="41">
        <v>0</v>
      </c>
      <c r="AD25" s="95">
        <f t="array" ref="AD25">SUM(Reference4*IFERROR(($F$4:$L$4-$AD$21)^AB25,1)*IFERROR(($E$5:$E$13-$AD$22)^AC25,1))</f>
        <v>15</v>
      </c>
      <c r="AE25" s="101"/>
      <c r="AF25" s="26"/>
      <c r="AG25" s="26"/>
      <c r="AH25" s="26"/>
      <c r="AI25" s="41">
        <v>0</v>
      </c>
      <c r="AJ25" s="41">
        <v>0</v>
      </c>
      <c r="AK25" s="95">
        <f t="array" ref="AK25">SUM(Reference5*IFERROR(($F$4:$L$4-$AK$21)^AI25,1)*IFERROR(($E$5:$E$13-$AK$22)^AJ25,1))</f>
        <v>12</v>
      </c>
      <c r="AL25" s="101"/>
      <c r="AM25" s="26"/>
      <c r="AN25" s="26"/>
      <c r="AO25" s="26"/>
      <c r="AP25" s="41">
        <v>0</v>
      </c>
      <c r="AQ25" s="41">
        <v>0</v>
      </c>
      <c r="AR25" s="95">
        <f t="array" ref="AR25">SUM(Reference6*IFERROR(($F$4:$L$4-$AR$21)^AP25,1)*IFERROR(($E$5:$E$13-$AR$22)^AQ25,1))</f>
        <v>15</v>
      </c>
      <c r="AS25" s="101"/>
      <c r="AT25" s="26"/>
      <c r="AU25" s="26"/>
      <c r="AV25" s="26"/>
      <c r="AW25" s="41">
        <v>0</v>
      </c>
      <c r="AX25" s="41">
        <v>0</v>
      </c>
      <c r="AY25" s="95">
        <f t="array" ref="AY25">SUM(Reference7*IFERROR(($F$4:$L$4-$AY$21)^AW25,1)*IFERROR(($E$5:$E$13-$AY$22)^AX25,1))</f>
        <v>18</v>
      </c>
      <c r="AZ25" s="101"/>
      <c r="BA25" s="26"/>
      <c r="BB25" s="26"/>
      <c r="BC25" s="26"/>
      <c r="BD25" s="41">
        <v>0</v>
      </c>
      <c r="BE25" s="41">
        <v>0</v>
      </c>
      <c r="BF25" s="102">
        <f t="array" ref="BF25">SUM(Reference8*IFERROR(($F$4:$L$4-$BF$21)^BD25,1)*IFERROR(($E$5:$E$13-$BF$22)^BE25,1))</f>
        <v>9</v>
      </c>
      <c r="BG25" s="103"/>
      <c r="BH25" s="26"/>
      <c r="BI25" s="26"/>
      <c r="BJ25" s="26"/>
      <c r="BK25" s="41">
        <v>0</v>
      </c>
      <c r="BL25" s="41">
        <v>0</v>
      </c>
      <c r="BM25" s="95">
        <f t="array" ref="BM25">SUM(Reference9*IFERROR(($F$4:$L$4-$BM$21)^BK25,1)*IFERROR(($E$5:$E$13-$BM$22)^BL25,1))</f>
        <v>21</v>
      </c>
      <c r="BN25" s="101"/>
      <c r="BO25" s="26"/>
      <c r="BP25" s="26"/>
      <c r="BQ25" s="26"/>
      <c r="BR25" s="41">
        <v>0</v>
      </c>
      <c r="BS25" s="41">
        <v>0</v>
      </c>
      <c r="BT25" s="95">
        <f t="array" ref="BT25">SUM(Reference10*IFERROR(($F$4:$L$4-$BT$21)^BR25,1)*IFERROR(($E$5:$E$13-$BT$22)^BS25,1))</f>
        <v>18</v>
      </c>
      <c r="BU25" s="96"/>
      <c r="BV25" s="26"/>
      <c r="BW25" s="26"/>
      <c r="BX25" s="26"/>
      <c r="BY25" s="41">
        <v>0</v>
      </c>
      <c r="BZ25" s="41">
        <v>0</v>
      </c>
      <c r="CA25" s="95">
        <f t="array" ref="CA25">SUM(Reference11*IFERROR(($F$4:$L$4-CA21)^BY25,1)*IFERROR(($E$5:$E$13-CA22)^BZ25,1))</f>
        <v>1</v>
      </c>
      <c r="CB25" s="96"/>
      <c r="CC25" s="26"/>
      <c r="CD25" s="26"/>
      <c r="CE25" s="26"/>
      <c r="CF25" s="41">
        <v>0</v>
      </c>
      <c r="CG25" s="41">
        <v>0</v>
      </c>
      <c r="CH25" s="95">
        <f t="array" ref="CH25">SUM(Reference12*IFERROR(($F$4:$L$4-$CH$21)^CF25,1)*IFERROR(($E$5:$E$13-$CH$22)^CG25,1))</f>
        <v>15</v>
      </c>
      <c r="CI25" s="96"/>
      <c r="CL25" s="7"/>
      <c r="CM25" s="7"/>
      <c r="CN25" s="7"/>
      <c r="CO25" s="7"/>
      <c r="CS25" s="7"/>
      <c r="CT25" s="60">
        <v>3</v>
      </c>
      <c r="CU25" s="8"/>
      <c r="CV25" s="60" t="s">
        <v>37</v>
      </c>
      <c r="CW25" s="8"/>
      <c r="CX25" s="59" t="str">
        <f t="shared" si="0"/>
        <v>$T$5:$Z$13</v>
      </c>
      <c r="CY25" s="7"/>
      <c r="CZ25" s="7"/>
      <c r="DA25" s="7"/>
      <c r="DB25" s="7"/>
      <c r="DC25" s="7"/>
      <c r="DD25" s="7"/>
      <c r="DE25" s="7"/>
      <c r="DF25" s="7"/>
      <c r="DG25" s="7"/>
      <c r="DH25" s="7"/>
    </row>
    <row r="26" spans="4:112" ht="16.5" hidden="1" thickTop="1" thickBot="1" x14ac:dyDescent="0.3">
      <c r="D26" s="43" t="s">
        <v>12</v>
      </c>
      <c r="E26" s="26"/>
      <c r="F26" s="26"/>
      <c r="G26" s="39">
        <v>2</v>
      </c>
      <c r="H26" s="39">
        <v>0</v>
      </c>
      <c r="I26" s="98">
        <f t="array" ref="I26">SUM(Reference1*IFERROR(($F$4:$L$4-$I$21)^G26,1)*IFERROR(($E$5:$E$13-$I$22)^H26,1))</f>
        <v>52</v>
      </c>
      <c r="J26" s="100"/>
      <c r="K26" s="26"/>
      <c r="L26" s="26"/>
      <c r="M26" s="26"/>
      <c r="N26" s="39">
        <v>2</v>
      </c>
      <c r="O26" s="39">
        <v>0</v>
      </c>
      <c r="P26" s="98">
        <f t="array" ref="P26">SUM(Reference2*IFERROR(($F$4:$L$4-$P$21)^N26,1)*IFERROR(($E$5:$E$13-$P$22)^O26,1))</f>
        <v>0</v>
      </c>
      <c r="Q26" s="100"/>
      <c r="R26" s="26"/>
      <c r="S26" s="26"/>
      <c r="T26" s="26"/>
      <c r="U26" s="39">
        <v>2</v>
      </c>
      <c r="V26" s="39">
        <v>0</v>
      </c>
      <c r="W26" s="98">
        <f t="array" ref="W26">SUM(Reference3*IFERROR(($F$4:$L$4-$W$21)^U26,1)*IFERROR(($E$5:$E$13-$W$22)^V26,1))</f>
        <v>30</v>
      </c>
      <c r="X26" s="100"/>
      <c r="Y26" s="26"/>
      <c r="Z26" s="26"/>
      <c r="AA26" s="26"/>
      <c r="AB26" s="39">
        <v>2</v>
      </c>
      <c r="AC26" s="39">
        <v>0</v>
      </c>
      <c r="AD26" s="98">
        <f t="array" ref="AD26">SUM(Reference4*IFERROR(($F$4:$L$4-$AD$21)^AB26,1)*IFERROR(($E$5:$E$13-$AD$22)^AC26,1))</f>
        <v>20.400000000000002</v>
      </c>
      <c r="AE26" s="100"/>
      <c r="AF26" s="26"/>
      <c r="AG26" s="26"/>
      <c r="AH26" s="26"/>
      <c r="AI26" s="39">
        <v>2</v>
      </c>
      <c r="AJ26" s="39">
        <v>0</v>
      </c>
      <c r="AK26" s="98">
        <f t="array" ref="AK26">SUM(Reference5*IFERROR(($F$4:$L$4-$AK$21)^AI26,1)*IFERROR(($E$5:$E$13-$AK$22)^AJ26,1))</f>
        <v>35</v>
      </c>
      <c r="AL26" s="100"/>
      <c r="AM26" s="26"/>
      <c r="AN26" s="26"/>
      <c r="AO26" s="26"/>
      <c r="AP26" s="39">
        <v>2</v>
      </c>
      <c r="AQ26" s="39">
        <v>0</v>
      </c>
      <c r="AR26" s="98">
        <f t="array" ref="AR26">SUM(Reference6*IFERROR(($F$4:$L$4-$AR$21)^AP26,1)*IFERROR(($E$5:$E$13-$AR$22)^AQ26,1))</f>
        <v>30</v>
      </c>
      <c r="AS26" s="100"/>
      <c r="AT26" s="26"/>
      <c r="AU26" s="26"/>
      <c r="AV26" s="26"/>
      <c r="AW26" s="39">
        <v>2</v>
      </c>
      <c r="AX26" s="39">
        <v>0</v>
      </c>
      <c r="AY26" s="98">
        <f t="array" ref="AY26">SUM(Reference7*IFERROR(($F$4:$L$4-$AY$21)^AW26,1)*IFERROR(($E$5:$E$13-$AY$22)^AX26,1))</f>
        <v>40</v>
      </c>
      <c r="AZ26" s="100"/>
      <c r="BA26" s="26"/>
      <c r="BB26" s="26"/>
      <c r="BC26" s="26"/>
      <c r="BD26" s="39">
        <v>2</v>
      </c>
      <c r="BE26" s="39">
        <v>0</v>
      </c>
      <c r="BF26" s="104">
        <f t="array" ref="BF26">SUM(Reference8*IFERROR(($F$4:$L$4-$BF$21)^BD26,1)*IFERROR(($E$5:$E$13-$BF$22)^BE26,1))</f>
        <v>9.9999999999999982</v>
      </c>
      <c r="BG26" s="105"/>
      <c r="BH26" s="26"/>
      <c r="BI26" s="26"/>
      <c r="BJ26" s="26"/>
      <c r="BK26" s="39">
        <v>2</v>
      </c>
      <c r="BL26" s="39">
        <v>0</v>
      </c>
      <c r="BM26" s="98">
        <f t="array" ref="BM26">SUM(Reference9*IFERROR(($F$4:$L$4-$BM$21)^BK26,1)*IFERROR(($E$5:$E$13-$BM$22)^BL26,1))</f>
        <v>54</v>
      </c>
      <c r="BN26" s="100"/>
      <c r="BO26" s="26"/>
      <c r="BP26" s="26"/>
      <c r="BQ26" s="26"/>
      <c r="BR26" s="39">
        <v>2</v>
      </c>
      <c r="BS26" s="39">
        <v>0</v>
      </c>
      <c r="BT26" s="98">
        <f t="array" ref="BT26">SUM(Reference10*IFERROR(($F$4:$L$4-$BT$21)^BR26,1)*IFERROR(($E$5:$E$13-$BT$22)^BS26,1))</f>
        <v>40.000000000000007</v>
      </c>
      <c r="BU26" s="99"/>
      <c r="BV26" s="26"/>
      <c r="BW26" s="26"/>
      <c r="BX26" s="26"/>
      <c r="BY26" s="39">
        <v>2</v>
      </c>
      <c r="BZ26" s="39">
        <v>0</v>
      </c>
      <c r="CA26" s="98">
        <f t="array" ref="CA26">SUM(Reference11*IFERROR(($F$4:$L$4-CA22)^BY26,1)*IFERROR(($E$5:$E$13-CA23)^BZ26,1))</f>
        <v>9</v>
      </c>
      <c r="CB26" s="99"/>
      <c r="CC26" s="26"/>
      <c r="CD26" s="26"/>
      <c r="CE26" s="26"/>
      <c r="CF26" s="39">
        <v>2</v>
      </c>
      <c r="CG26" s="39">
        <v>0</v>
      </c>
      <c r="CH26" s="98">
        <f t="array" ref="CH26">SUM(Reference12*IFERROR(($F$4:$L$4-$CH$21)^CF26,1)*IFERROR(($E$5:$E$13-$CH$22)^CG26,1))</f>
        <v>20.400000000000002</v>
      </c>
      <c r="CI26" s="99"/>
      <c r="CL26" s="7"/>
      <c r="CM26" s="7"/>
      <c r="CN26" s="7"/>
      <c r="CP26" s="7"/>
      <c r="CQ26" s="7"/>
      <c r="CS26" s="7"/>
      <c r="CT26" s="60">
        <v>4</v>
      </c>
      <c r="CU26" s="8"/>
      <c r="CV26" s="60" t="s">
        <v>38</v>
      </c>
      <c r="CW26" s="8"/>
      <c r="CX26" s="59" t="str">
        <f t="shared" si="0"/>
        <v>$AA$5:$AG$13</v>
      </c>
      <c r="CY26" s="7"/>
      <c r="CZ26" s="7"/>
      <c r="DA26" s="7"/>
      <c r="DB26" s="7"/>
      <c r="DC26" s="7"/>
      <c r="DD26" s="7"/>
      <c r="DE26" s="7"/>
      <c r="DF26" s="7"/>
      <c r="DG26" s="7"/>
      <c r="DH26" s="7"/>
    </row>
    <row r="27" spans="4:112" ht="16.5" hidden="1" thickTop="1" thickBot="1" x14ac:dyDescent="0.3">
      <c r="D27" s="43" t="s">
        <v>13</v>
      </c>
      <c r="E27" s="26"/>
      <c r="F27" s="26"/>
      <c r="G27" s="39">
        <v>0</v>
      </c>
      <c r="H27" s="39">
        <v>2</v>
      </c>
      <c r="I27" s="98">
        <f t="array" ref="I27">SUM(Reference1*IFERROR(($F$4:$L$4-$I$21)^G27,1)*IFERROR(($E$5:$E$13-$I$22)^H27,1))</f>
        <v>152</v>
      </c>
      <c r="J27" s="100"/>
      <c r="K27" s="26"/>
      <c r="L27" s="26"/>
      <c r="M27" s="26"/>
      <c r="N27" s="39">
        <v>0</v>
      </c>
      <c r="O27" s="39">
        <v>2</v>
      </c>
      <c r="P27" s="98">
        <f t="array" ref="P27">SUM(Reference2*IFERROR(($F$4:$L$4-$P$21)^N27,1)*IFERROR(($E$5:$E$13-$P$22)^O27,1))</f>
        <v>28</v>
      </c>
      <c r="Q27" s="100"/>
      <c r="R27" s="26"/>
      <c r="S27" s="26"/>
      <c r="T27" s="26"/>
      <c r="U27" s="39">
        <v>0</v>
      </c>
      <c r="V27" s="39">
        <v>2</v>
      </c>
      <c r="W27" s="98">
        <f t="array" ref="W27">SUM(Reference3*IFERROR(($F$4:$L$4-$W$21)^U27,1)*IFERROR(($E$5:$E$13-$W$22)^V27,1))</f>
        <v>124</v>
      </c>
      <c r="X27" s="100"/>
      <c r="Y27" s="26"/>
      <c r="Z27" s="26"/>
      <c r="AA27" s="26"/>
      <c r="AB27" s="39">
        <v>0</v>
      </c>
      <c r="AC27" s="39">
        <v>2</v>
      </c>
      <c r="AD27" s="98">
        <f t="array" ref="AD27">SUM(Reference4*IFERROR(($F$4:$L$4-$AD$21)^AB27,1)*IFERROR(($E$5:$E$13-$AD$22)^AC27,1))</f>
        <v>124</v>
      </c>
      <c r="AE27" s="100"/>
      <c r="AF27" s="26"/>
      <c r="AG27" s="26"/>
      <c r="AH27" s="26"/>
      <c r="AI27" s="39">
        <v>0</v>
      </c>
      <c r="AJ27" s="39">
        <v>2</v>
      </c>
      <c r="AK27" s="98">
        <f t="array" ref="AK27">SUM(Reference5*IFERROR(($F$4:$L$4-$AK$21)^AI27,1)*IFERROR(($E$5:$E$13-$AK$22)^AJ27,1))</f>
        <v>39</v>
      </c>
      <c r="AL27" s="100"/>
      <c r="AM27" s="26"/>
      <c r="AN27" s="26"/>
      <c r="AO27" s="26"/>
      <c r="AP27" s="39">
        <v>0</v>
      </c>
      <c r="AQ27" s="39">
        <v>2</v>
      </c>
      <c r="AR27" s="98">
        <f t="array" ref="AR27">SUM(Reference6*IFERROR(($F$4:$L$4-$AR$21)^AP27,1)*IFERROR(($E$5:$E$13-$AR$22)^AQ27,1))</f>
        <v>124</v>
      </c>
      <c r="AS27" s="100"/>
      <c r="AT27" s="26"/>
      <c r="AU27" s="26"/>
      <c r="AV27" s="26"/>
      <c r="AW27" s="39">
        <v>0</v>
      </c>
      <c r="AX27" s="39">
        <v>2</v>
      </c>
      <c r="AY27" s="98">
        <f t="array" ref="AY27">SUM(Reference7*IFERROR(($F$4:$L$4-$AY$21)^AW27,1)*IFERROR(($E$5:$E$13-$AY$22)^AX27,1))</f>
        <v>136</v>
      </c>
      <c r="AZ27" s="100"/>
      <c r="BA27" s="26"/>
      <c r="BB27" s="26"/>
      <c r="BC27" s="26"/>
      <c r="BD27" s="39">
        <v>0</v>
      </c>
      <c r="BE27" s="39">
        <v>2</v>
      </c>
      <c r="BF27" s="104">
        <f t="array" ref="BF27">SUM(Reference8*IFERROR(($F$4:$L$4-$BF$21)^BD27,1)*IFERROR(($E$5:$E$13-$BF$22)^BE27,1))</f>
        <v>60</v>
      </c>
      <c r="BG27" s="105"/>
      <c r="BH27" s="26"/>
      <c r="BI27" s="26"/>
      <c r="BJ27" s="26"/>
      <c r="BK27" s="39">
        <v>0</v>
      </c>
      <c r="BL27" s="39">
        <v>2</v>
      </c>
      <c r="BM27" s="98">
        <f t="array" ref="BM27">SUM(Reference9*IFERROR(($F$4:$L$4-$BM$21)^BK27,1)*IFERROR(($E$5:$E$13-$BM$22)^BL27,1))</f>
        <v>152</v>
      </c>
      <c r="BN27" s="100"/>
      <c r="BO27" s="26"/>
      <c r="BP27" s="26"/>
      <c r="BQ27" s="26"/>
      <c r="BR27" s="39">
        <v>0</v>
      </c>
      <c r="BS27" s="39">
        <v>2</v>
      </c>
      <c r="BT27" s="98">
        <f t="array" ref="BT27">SUM(Reference10*IFERROR(($F$4:$L$4-$BT$21)^BR27,1)*IFERROR(($E$5:$E$13-$BT$22)^BS27,1))</f>
        <v>136</v>
      </c>
      <c r="BU27" s="99"/>
      <c r="BV27" s="26"/>
      <c r="BW27" s="26"/>
      <c r="BX27" s="26"/>
      <c r="BY27" s="39">
        <v>0</v>
      </c>
      <c r="BZ27" s="39">
        <v>2</v>
      </c>
      <c r="CA27" s="98">
        <f t="array" ref="CA27">SUM(Reference11*IFERROR(($F$4:$L$4-CA23)^BY27,1)*IFERROR(($E$5:$E$13-CA24)^BZ27,1))</f>
        <v>1</v>
      </c>
      <c r="CB27" s="99"/>
      <c r="CC27" s="26"/>
      <c r="CD27" s="26"/>
      <c r="CE27" s="26"/>
      <c r="CF27" s="39">
        <v>0</v>
      </c>
      <c r="CG27" s="39">
        <v>2</v>
      </c>
      <c r="CH27" s="98">
        <f t="array" ref="CH27">SUM(Reference12*IFERROR(($F$4:$L$4-$CH$21)^CF27,1)*IFERROR(($E$5:$E$13-$CH$22)^CG27,1))</f>
        <v>124</v>
      </c>
      <c r="CI27" s="99"/>
      <c r="CL27" s="7"/>
      <c r="CM27" s="7"/>
      <c r="CN27" s="7"/>
      <c r="CP27" s="7"/>
      <c r="CQ27" s="7"/>
      <c r="CS27" s="7"/>
      <c r="CT27" s="60">
        <v>5</v>
      </c>
      <c r="CU27" s="8"/>
      <c r="CV27" s="60" t="s">
        <v>39</v>
      </c>
      <c r="CW27" s="8"/>
      <c r="CX27" s="59" t="str">
        <f t="shared" si="0"/>
        <v>$AH$5:$AN$13</v>
      </c>
      <c r="CY27" s="7"/>
      <c r="CZ27" s="7"/>
      <c r="DA27" s="7"/>
      <c r="DB27" s="7"/>
      <c r="DC27" s="7"/>
      <c r="DD27" s="7"/>
      <c r="DE27" s="7"/>
      <c r="DF27" s="7"/>
      <c r="DG27" s="7"/>
      <c r="DH27" s="7"/>
    </row>
    <row r="28" spans="4:112" ht="16.5" hidden="1" thickTop="1" thickBot="1" x14ac:dyDescent="0.3">
      <c r="D28" s="43" t="s">
        <v>14</v>
      </c>
      <c r="E28" s="26"/>
      <c r="F28" s="26"/>
      <c r="G28" s="39">
        <v>1</v>
      </c>
      <c r="H28" s="39">
        <v>1</v>
      </c>
      <c r="I28" s="98">
        <f t="array" ref="I28">SUM(Reference1*IFERROR(($F$4:$L$4-$I$21)^G28,1)*IFERROR(($E$5:$E$13-$I$22)^H28,1))</f>
        <v>0</v>
      </c>
      <c r="J28" s="100"/>
      <c r="K28" s="26"/>
      <c r="L28" s="26"/>
      <c r="M28" s="26"/>
      <c r="N28" s="39">
        <v>1</v>
      </c>
      <c r="O28" s="39">
        <v>1</v>
      </c>
      <c r="P28" s="98">
        <f t="array" ref="P28">SUM(Reference2*IFERROR(($F$4:$L$4-$P$21)^N28,1)*IFERROR(($E$5:$E$13-$P$22)^O28,1))</f>
        <v>0</v>
      </c>
      <c r="Q28" s="100"/>
      <c r="R28" s="26"/>
      <c r="S28" s="26"/>
      <c r="T28" s="26"/>
      <c r="U28" s="39">
        <v>1</v>
      </c>
      <c r="V28" s="39">
        <v>1</v>
      </c>
      <c r="W28" s="98">
        <f t="array" ref="W28">SUM(Reference3*IFERROR(($F$4:$L$4-$W$21)^U28,1)*IFERROR(($E$5:$E$13-$W$22)^V28,1))</f>
        <v>-24</v>
      </c>
      <c r="X28" s="100"/>
      <c r="Y28" s="26"/>
      <c r="Z28" s="26"/>
      <c r="AA28" s="26"/>
      <c r="AB28" s="39">
        <v>1</v>
      </c>
      <c r="AC28" s="39">
        <v>1</v>
      </c>
      <c r="AD28" s="98">
        <f t="array" ref="AD28">SUM(Reference4*IFERROR(($F$4:$L$4-$AD$21)^AB28,1)*IFERROR(($E$5:$E$13-$AD$22)^AC28,1))</f>
        <v>0</v>
      </c>
      <c r="AE28" s="100"/>
      <c r="AF28" s="26"/>
      <c r="AG28" s="26"/>
      <c r="AH28" s="26"/>
      <c r="AI28" s="39">
        <v>1</v>
      </c>
      <c r="AJ28" s="39">
        <v>1</v>
      </c>
      <c r="AK28" s="98">
        <f t="array" ref="AK28">SUM(Reference5*IFERROR(($F$4:$L$4-$AK$21)^AI28,1)*IFERROR(($E$5:$E$13-$AK$22)^AJ28,1))</f>
        <v>15</v>
      </c>
      <c r="AL28" s="100"/>
      <c r="AM28" s="26"/>
      <c r="AN28" s="26"/>
      <c r="AO28" s="26"/>
      <c r="AP28" s="39">
        <v>1</v>
      </c>
      <c r="AQ28" s="39">
        <v>1</v>
      </c>
      <c r="AR28" s="98">
        <f t="array" ref="AR28">SUM(Reference6*IFERROR(($F$4:$L$4-$AR$21)^AP28,1)*IFERROR(($E$5:$E$13-$AR$22)^AQ28,1))</f>
        <v>24</v>
      </c>
      <c r="AS28" s="100"/>
      <c r="AT28" s="26"/>
      <c r="AU28" s="26"/>
      <c r="AV28" s="26"/>
      <c r="AW28" s="39">
        <v>1</v>
      </c>
      <c r="AX28" s="39">
        <v>1</v>
      </c>
      <c r="AY28" s="98">
        <f t="array" ref="AY28">SUM(Reference7*IFERROR(($F$4:$L$4-$AY$21)^AW28,1)*IFERROR(($E$5:$E$13-$AY$22)^AX28,1))</f>
        <v>14</v>
      </c>
      <c r="AZ28" s="100"/>
      <c r="BA28" s="26"/>
      <c r="BB28" s="26"/>
      <c r="BC28" s="26"/>
      <c r="BD28" s="39">
        <v>1</v>
      </c>
      <c r="BE28" s="39">
        <v>1</v>
      </c>
      <c r="BF28" s="104">
        <f t="array" ref="BF28">SUM(Reference8*IFERROR(($F$4:$L$4-$BF$21)^BD28,1)*IFERROR(($E$5:$E$13-$BF$22)^BE28,1))</f>
        <v>16</v>
      </c>
      <c r="BG28" s="105"/>
      <c r="BH28" s="26"/>
      <c r="BI28" s="26"/>
      <c r="BJ28" s="26"/>
      <c r="BK28" s="39">
        <v>1</v>
      </c>
      <c r="BL28" s="39">
        <v>1</v>
      </c>
      <c r="BM28" s="98">
        <f t="array" ref="BM28">SUM(Reference9*IFERROR(($F$4:$L$4-$BM$21)^BK28,1)*IFERROR(($E$5:$E$13-$BM$22)^BL28,1))</f>
        <v>0</v>
      </c>
      <c r="BN28" s="100"/>
      <c r="BO28" s="26"/>
      <c r="BP28" s="26"/>
      <c r="BQ28" s="26"/>
      <c r="BR28" s="39">
        <v>1</v>
      </c>
      <c r="BS28" s="39">
        <v>1</v>
      </c>
      <c r="BT28" s="98">
        <f t="array" ref="BT28">SUM(Reference10*IFERROR(($F$4:$L$4-$BT$21)^BR28,1)*IFERROR(($E$5:$E$13-$BT$22)^BS28,1))</f>
        <v>14</v>
      </c>
      <c r="BU28" s="99"/>
      <c r="BV28" s="26"/>
      <c r="BW28" s="26"/>
      <c r="BX28" s="26"/>
      <c r="BY28" s="39">
        <v>1</v>
      </c>
      <c r="BZ28" s="39">
        <v>1</v>
      </c>
      <c r="CA28" s="98">
        <f t="array" ref="CA28">SUM(Reference11*IFERROR(($F$4:$L$4-CA24)^BY28,1)*IFERROR(($E$5:$E$13-CA25)^BZ28,1))</f>
        <v>8</v>
      </c>
      <c r="CB28" s="99"/>
      <c r="CC28" s="26"/>
      <c r="CD28" s="26"/>
      <c r="CE28" s="26"/>
      <c r="CF28" s="39">
        <v>1</v>
      </c>
      <c r="CG28" s="39">
        <v>1</v>
      </c>
      <c r="CH28" s="98">
        <f t="array" ref="CH28">SUM(Reference12*IFERROR(($F$4:$L$4-$CH$21)^CF28,1)*IFERROR(($E$5:$E$13-$CH$22)^CG28,1))</f>
        <v>0</v>
      </c>
      <c r="CI28" s="99"/>
      <c r="CL28" s="7"/>
      <c r="CM28" s="7"/>
      <c r="CN28" s="7"/>
      <c r="CP28" s="7"/>
      <c r="CQ28" s="7"/>
      <c r="CS28" s="7"/>
      <c r="CT28" s="60">
        <v>6</v>
      </c>
      <c r="CU28" s="8"/>
      <c r="CV28" s="60" t="s">
        <v>40</v>
      </c>
      <c r="CW28" s="8"/>
      <c r="CX28" s="59" t="str">
        <f t="shared" si="0"/>
        <v>$AO$5:$AU$13</v>
      </c>
      <c r="CY28" s="7"/>
      <c r="CZ28" s="7"/>
      <c r="DA28" s="7"/>
      <c r="DB28" s="7"/>
      <c r="DC28" s="7"/>
      <c r="DD28" s="7"/>
      <c r="DE28" s="7"/>
      <c r="DF28" s="7"/>
      <c r="DG28" s="7"/>
      <c r="DH28" s="7"/>
    </row>
    <row r="29" spans="4:112" ht="16.5" hidden="1" thickTop="1" thickBot="1" x14ac:dyDescent="0.3">
      <c r="D29" s="43" t="s">
        <v>15</v>
      </c>
      <c r="E29" s="26"/>
      <c r="F29" s="26"/>
      <c r="G29" s="39">
        <v>3</v>
      </c>
      <c r="H29" s="39">
        <v>0</v>
      </c>
      <c r="I29" s="98">
        <f t="array" ref="I29">SUM(Reference1*IFERROR(($F$4:$L$4-$I$21)^G29,1)*IFERROR(($E$5:$E$13-$I$22)^H29,1))</f>
        <v>0</v>
      </c>
      <c r="J29" s="100"/>
      <c r="K29" s="26"/>
      <c r="L29" s="26"/>
      <c r="M29" s="26"/>
      <c r="N29" s="39">
        <v>3</v>
      </c>
      <c r="O29" s="39">
        <v>0</v>
      </c>
      <c r="P29" s="98">
        <f t="array" ref="P29">SUM(Reference2*IFERROR(($F$4:$L$4-$P$21)^N29,1)*IFERROR(($E$5:$E$13-$P$22)^O29,1))</f>
        <v>0</v>
      </c>
      <c r="Q29" s="100"/>
      <c r="R29" s="26"/>
      <c r="S29" s="26"/>
      <c r="T29" s="26"/>
      <c r="U29" s="39">
        <v>3</v>
      </c>
      <c r="V29" s="39">
        <v>0</v>
      </c>
      <c r="W29" s="98">
        <f t="array" ref="W29">SUM(Reference3*IFERROR(($F$4:$L$4-$W$21)^U29,1)*IFERROR(($E$5:$E$13-$W$22)^V29,1))</f>
        <v>0</v>
      </c>
      <c r="X29" s="100"/>
      <c r="Y29" s="26"/>
      <c r="Z29" s="26"/>
      <c r="AA29" s="26"/>
      <c r="AB29" s="39">
        <v>3</v>
      </c>
      <c r="AC29" s="39">
        <v>0</v>
      </c>
      <c r="AD29" s="98">
        <f t="array" ref="AD29">SUM(Reference4*IFERROR(($F$4:$L$4-$AD$21)^AB29,1)*IFERROR(($E$5:$E$13-$AD$22)^AC29,1))</f>
        <v>-8.6399999999999881</v>
      </c>
      <c r="AE29" s="100"/>
      <c r="AF29" s="26"/>
      <c r="AG29" s="26"/>
      <c r="AH29" s="26"/>
      <c r="AI29" s="39">
        <v>3</v>
      </c>
      <c r="AJ29" s="39">
        <v>0</v>
      </c>
      <c r="AK29" s="98">
        <f t="array" ref="AK29">SUM(Reference5*IFERROR(($F$4:$L$4-$AK$21)^AI29,1)*IFERROR(($E$5:$E$13-$AK$22)^AJ29,1))</f>
        <v>-30</v>
      </c>
      <c r="AL29" s="100"/>
      <c r="AM29" s="26"/>
      <c r="AN29" s="26"/>
      <c r="AO29" s="26"/>
      <c r="AP29" s="39">
        <v>3</v>
      </c>
      <c r="AQ29" s="39">
        <v>0</v>
      </c>
      <c r="AR29" s="98">
        <f t="array" ref="AR29">SUM(Reference6*IFERROR(($F$4:$L$4-$AR$21)^AP29,1)*IFERROR(($E$5:$E$13-$AR$22)^AQ29,1))</f>
        <v>0</v>
      </c>
      <c r="AS29" s="100"/>
      <c r="AT29" s="26"/>
      <c r="AU29" s="26"/>
      <c r="AV29" s="26"/>
      <c r="AW29" s="39">
        <v>3</v>
      </c>
      <c r="AX29" s="39">
        <v>0</v>
      </c>
      <c r="AY29" s="98">
        <f t="array" ref="AY29">SUM(Reference7*IFERROR(($F$4:$L$4-$AY$21)^AW29,1)*IFERROR(($E$5:$E$13-$AY$22)^AX29,1))</f>
        <v>16.666666666666689</v>
      </c>
      <c r="AZ29" s="100"/>
      <c r="BA29" s="26"/>
      <c r="BB29" s="26"/>
      <c r="BC29" s="26"/>
      <c r="BD29" s="39">
        <v>3</v>
      </c>
      <c r="BE29" s="39">
        <v>0</v>
      </c>
      <c r="BF29" s="104">
        <f t="array" ref="BF29">SUM(Reference8*IFERROR(($F$4:$L$4-$BF$21)^BD29,1)*IFERROR(($E$5:$E$13-$BF$22)^BE29,1))</f>
        <v>-13.333333333333318</v>
      </c>
      <c r="BG29" s="105"/>
      <c r="BH29" s="26"/>
      <c r="BI29" s="26"/>
      <c r="BJ29" s="26"/>
      <c r="BK29" s="39">
        <v>3</v>
      </c>
      <c r="BL29" s="39">
        <v>0</v>
      </c>
      <c r="BM29" s="98">
        <f t="array" ref="BM29">SUM(Reference9*IFERROR(($F$4:$L$4-$BM$21)^BK29,1)*IFERROR(($E$5:$E$13-$BM$22)^BL29,1))</f>
        <v>0</v>
      </c>
      <c r="BN29" s="100"/>
      <c r="BO29" s="26"/>
      <c r="BP29" s="26"/>
      <c r="BQ29" s="26"/>
      <c r="BR29" s="39">
        <v>3</v>
      </c>
      <c r="BS29" s="39">
        <v>0</v>
      </c>
      <c r="BT29" s="98">
        <f t="array" ref="BT29">SUM(Reference10*IFERROR(($F$4:$L$4-$BT$21)^BR29,1)*IFERROR(($E$5:$E$13-$BT$22)^BS29,1))</f>
        <v>-16.666666666666639</v>
      </c>
      <c r="BU29" s="99"/>
      <c r="BV29" s="26"/>
      <c r="BW29" s="26"/>
      <c r="BX29" s="26"/>
      <c r="BY29" s="39">
        <v>3</v>
      </c>
      <c r="BZ29" s="39">
        <v>0</v>
      </c>
      <c r="CA29" s="98">
        <f t="array" ref="CA29">SUM(Reference11*IFERROR(($F$4:$L$4-CA25)^BY29,1)*IFERROR(($E$5:$E$13-CA26)^BZ29,1))</f>
        <v>125</v>
      </c>
      <c r="CB29" s="99"/>
      <c r="CC29" s="26"/>
      <c r="CD29" s="26"/>
      <c r="CE29" s="26"/>
      <c r="CF29" s="39">
        <v>3</v>
      </c>
      <c r="CG29" s="39">
        <v>0</v>
      </c>
      <c r="CH29" s="98">
        <f t="array" ref="CH29">SUM(Reference12*IFERROR(($F$4:$L$4-$CH$21)^CF29,1)*IFERROR(($E$5:$E$13-$CH$22)^CG29,1))</f>
        <v>8.6399999999999899</v>
      </c>
      <c r="CI29" s="99"/>
      <c r="CL29" s="7"/>
      <c r="CM29" s="7"/>
      <c r="CN29" s="7"/>
      <c r="CP29" s="7"/>
      <c r="CQ29" s="7"/>
      <c r="CS29" s="7"/>
      <c r="CT29" s="60">
        <v>7</v>
      </c>
      <c r="CU29" s="8"/>
      <c r="CV29" s="60" t="s">
        <v>41</v>
      </c>
      <c r="CW29" s="8"/>
      <c r="CX29" s="59" t="str">
        <f t="shared" si="0"/>
        <v>$AV$5:$BB$13</v>
      </c>
      <c r="CY29" s="7"/>
      <c r="CZ29" s="7"/>
      <c r="DA29" s="7"/>
      <c r="DB29" s="7"/>
      <c r="DC29" s="7"/>
      <c r="DD29" s="7"/>
      <c r="DE29" s="7"/>
      <c r="DF29" s="7"/>
      <c r="DG29" s="7"/>
      <c r="DH29" s="7"/>
    </row>
    <row r="30" spans="4:112" ht="16.5" hidden="1" thickTop="1" thickBot="1" x14ac:dyDescent="0.3">
      <c r="D30" s="43" t="s">
        <v>16</v>
      </c>
      <c r="E30" s="26"/>
      <c r="F30" s="26"/>
      <c r="G30" s="39">
        <v>0</v>
      </c>
      <c r="H30" s="39">
        <v>3</v>
      </c>
      <c r="I30" s="98">
        <f t="array" ref="I30">SUM(Reference1*IFERROR(($F$4:$L$4-$I$21)^G30,1)*IFERROR(($E$5:$E$13-$I$22)^H30,1))</f>
        <v>0</v>
      </c>
      <c r="J30" s="100"/>
      <c r="K30" s="26"/>
      <c r="L30" s="26"/>
      <c r="M30" s="26"/>
      <c r="N30" s="39">
        <v>0</v>
      </c>
      <c r="O30" s="39">
        <v>3</v>
      </c>
      <c r="P30" s="98">
        <f t="array" ref="P30">SUM(Reference2*IFERROR(($F$4:$L$4-$P$21)^N30,1)*IFERROR(($E$5:$E$13-$P$22)^O30,1))</f>
        <v>0</v>
      </c>
      <c r="Q30" s="100"/>
      <c r="R30" s="26"/>
      <c r="S30" s="26"/>
      <c r="T30" s="26"/>
      <c r="U30" s="39">
        <v>0</v>
      </c>
      <c r="V30" s="39">
        <v>3</v>
      </c>
      <c r="W30" s="98">
        <f t="array" ref="W30">SUM(Reference3*IFERROR(($F$4:$L$4-$W$21)^U30,1)*IFERROR(($E$5:$E$13-$W$22)^V30,1))</f>
        <v>0</v>
      </c>
      <c r="X30" s="100"/>
      <c r="Y30" s="26"/>
      <c r="Z30" s="26"/>
      <c r="AA30" s="26"/>
      <c r="AB30" s="39">
        <v>0</v>
      </c>
      <c r="AC30" s="39">
        <v>3</v>
      </c>
      <c r="AD30" s="98">
        <f t="array" ref="AD30">SUM(Reference4*IFERROR(($F$4:$L$4-$AD$21)^AB30,1)*IFERROR(($E$5:$E$13-$AD$22)^AC30,1))</f>
        <v>0</v>
      </c>
      <c r="AE30" s="100"/>
      <c r="AF30" s="26"/>
      <c r="AG30" s="26"/>
      <c r="AH30" s="26"/>
      <c r="AI30" s="39">
        <v>0</v>
      </c>
      <c r="AJ30" s="39">
        <v>3</v>
      </c>
      <c r="AK30" s="98">
        <f t="array" ref="AK30">SUM(Reference5*IFERROR(($F$4:$L$4-$AK$21)^AI30,1)*IFERROR(($E$5:$E$13-$AK$22)^AJ30,1))</f>
        <v>24</v>
      </c>
      <c r="AL30" s="100"/>
      <c r="AM30" s="26"/>
      <c r="AN30" s="26"/>
      <c r="AO30" s="26"/>
      <c r="AP30" s="39">
        <v>0</v>
      </c>
      <c r="AQ30" s="39">
        <v>3</v>
      </c>
      <c r="AR30" s="98">
        <f t="array" ref="AR30">SUM(Reference6*IFERROR(($F$4:$L$4-$AR$21)^AP30,1)*IFERROR(($E$5:$E$13-$AR$22)^AQ30,1))</f>
        <v>0</v>
      </c>
      <c r="AS30" s="100"/>
      <c r="AT30" s="26"/>
      <c r="AU30" s="26"/>
      <c r="AV30" s="26"/>
      <c r="AW30" s="39">
        <v>0</v>
      </c>
      <c r="AX30" s="39">
        <v>3</v>
      </c>
      <c r="AY30" s="98">
        <f t="array" ref="AY30">SUM(Reference7*IFERROR(($F$4:$L$4-$AY$21)^AW30,1)*IFERROR(($E$5:$E$13-$AY$22)^AX30,1))</f>
        <v>-100.66666666666649</v>
      </c>
      <c r="AZ30" s="100"/>
      <c r="BA30" s="26"/>
      <c r="BB30" s="26"/>
      <c r="BC30" s="26"/>
      <c r="BD30" s="39">
        <v>0</v>
      </c>
      <c r="BE30" s="39">
        <v>3</v>
      </c>
      <c r="BF30" s="104">
        <f t="array" ref="BF30">SUM(Reference8*IFERROR(($F$4:$L$4-$BF$21)^BD30,1)*IFERROR(($E$5:$E$13-$BF$22)^BE30,1))</f>
        <v>69.333333333333371</v>
      </c>
      <c r="BG30" s="105"/>
      <c r="BH30" s="26"/>
      <c r="BI30" s="26"/>
      <c r="BJ30" s="26"/>
      <c r="BK30" s="39">
        <v>0</v>
      </c>
      <c r="BL30" s="39">
        <v>3</v>
      </c>
      <c r="BM30" s="98">
        <f t="array" ref="BM30">SUM(Reference9*IFERROR(($F$4:$L$4-$BM$21)^BK30,1)*IFERROR(($E$5:$E$13-$BM$22)^BL30,1))</f>
        <v>0</v>
      </c>
      <c r="BN30" s="100"/>
      <c r="BO30" s="26"/>
      <c r="BP30" s="26"/>
      <c r="BQ30" s="26"/>
      <c r="BR30" s="39">
        <v>0</v>
      </c>
      <c r="BS30" s="39">
        <v>3</v>
      </c>
      <c r="BT30" s="98">
        <f t="array" ref="BT30">SUM(Reference10*IFERROR(($F$4:$L$4-$BT$21)^BR30,1)*IFERROR(($E$5:$E$13-$BT$22)^BS30,1))</f>
        <v>100.6666666666666</v>
      </c>
      <c r="BU30" s="99"/>
      <c r="BV30" s="26"/>
      <c r="BW30" s="26"/>
      <c r="BX30" s="26"/>
      <c r="BY30" s="39">
        <v>0</v>
      </c>
      <c r="BZ30" s="39">
        <v>3</v>
      </c>
      <c r="CA30" s="98">
        <f t="array" ref="CA30">SUM(Reference11*IFERROR(($F$4:$L$4-CA26)^BY30,1)*IFERROR(($E$5:$E$13-CA27)^BZ30,1))</f>
        <v>512</v>
      </c>
      <c r="CB30" s="99"/>
      <c r="CC30" s="26"/>
      <c r="CD30" s="26"/>
      <c r="CE30" s="26"/>
      <c r="CF30" s="39">
        <v>0</v>
      </c>
      <c r="CG30" s="39">
        <v>3</v>
      </c>
      <c r="CH30" s="98">
        <f t="array" ref="CH30">SUM(Reference12*IFERROR(($F$4:$L$4-$CH$21)^CF30,1)*IFERROR(($E$5:$E$13-$CH$22)^CG30,1))</f>
        <v>0</v>
      </c>
      <c r="CI30" s="99"/>
      <c r="CL30" s="7"/>
      <c r="CM30" s="7"/>
      <c r="CN30" s="7"/>
      <c r="CP30" s="7"/>
      <c r="CQ30" s="7"/>
      <c r="CS30" s="7"/>
      <c r="CT30" s="60">
        <v>8</v>
      </c>
      <c r="CU30" s="8"/>
      <c r="CV30" s="60" t="s">
        <v>42</v>
      </c>
      <c r="CW30" s="8"/>
      <c r="CX30" s="59" t="str">
        <f t="shared" si="0"/>
        <v>$BC$5:$BI$13</v>
      </c>
      <c r="CY30" s="7"/>
      <c r="CZ30" s="7"/>
      <c r="DA30" s="7"/>
      <c r="DB30" s="7"/>
      <c r="DC30" s="7"/>
      <c r="DD30" s="7"/>
      <c r="DE30" s="7"/>
      <c r="DF30" s="7"/>
      <c r="DG30" s="7"/>
      <c r="DH30" s="7"/>
    </row>
    <row r="31" spans="4:112" ht="16.5" hidden="1" thickTop="1" thickBot="1" x14ac:dyDescent="0.3">
      <c r="D31" s="43" t="s">
        <v>17</v>
      </c>
      <c r="E31" s="26"/>
      <c r="F31" s="26"/>
      <c r="G31" s="39">
        <v>2</v>
      </c>
      <c r="H31" s="39">
        <v>1</v>
      </c>
      <c r="I31" s="98">
        <f t="array" ref="I31">SUM(Reference1*IFERROR(($F$4:$L$4-$I$21)^G31,1)*IFERROR(($E$5:$E$13-$I$22)^H31,1))</f>
        <v>0</v>
      </c>
      <c r="J31" s="100"/>
      <c r="K31" s="26"/>
      <c r="L31" s="26"/>
      <c r="M31" s="26"/>
      <c r="N31" s="39">
        <v>2</v>
      </c>
      <c r="O31" s="39">
        <v>1</v>
      </c>
      <c r="P31" s="98">
        <f t="array" ref="P31">SUM(Reference2*IFERROR(($F$4:$L$4-$P$21)^N31,1)*IFERROR(($E$5:$E$13-$P$22)^O31,1))</f>
        <v>0</v>
      </c>
      <c r="Q31" s="100"/>
      <c r="R31" s="26"/>
      <c r="S31" s="26"/>
      <c r="T31" s="26"/>
      <c r="U31" s="39">
        <v>2</v>
      </c>
      <c r="V31" s="39">
        <v>1</v>
      </c>
      <c r="W31" s="98">
        <f t="array" ref="W31">SUM(Reference3*IFERROR(($F$4:$L$4-$W$21)^U31,1)*IFERROR(($E$5:$E$13-$W$22)^V31,1))</f>
        <v>0</v>
      </c>
      <c r="X31" s="100"/>
      <c r="Y31" s="26"/>
      <c r="Z31" s="26"/>
      <c r="AA31" s="26"/>
      <c r="AB31" s="39">
        <v>2</v>
      </c>
      <c r="AC31" s="39">
        <v>1</v>
      </c>
      <c r="AD31" s="98">
        <f t="array" ref="AD31">SUM(Reference4*IFERROR(($F$4:$L$4-$AD$21)^AB31,1)*IFERROR(($E$5:$E$13-$AD$22)^AC31,1))</f>
        <v>3.6914915568786455E-15</v>
      </c>
      <c r="AE31" s="100"/>
      <c r="AF31" s="26"/>
      <c r="AG31" s="26"/>
      <c r="AH31" s="26"/>
      <c r="AI31" s="39">
        <v>2</v>
      </c>
      <c r="AJ31" s="39">
        <v>1</v>
      </c>
      <c r="AK31" s="98">
        <f t="array" ref="AK31">SUM(Reference5*IFERROR(($F$4:$L$4-$AK$21)^AI31,1)*IFERROR(($E$5:$E$13-$AK$22)^AJ31,1))</f>
        <v>-20</v>
      </c>
      <c r="AL31" s="100"/>
      <c r="AM31" s="26"/>
      <c r="AN31" s="26"/>
      <c r="AO31" s="26"/>
      <c r="AP31" s="39">
        <v>2</v>
      </c>
      <c r="AQ31" s="39">
        <v>1</v>
      </c>
      <c r="AR31" s="98">
        <f t="array" ref="AR31">SUM(Reference6*IFERROR(($F$4:$L$4-$AR$21)^AP31,1)*IFERROR(($E$5:$E$13-$AR$22)^AQ31,1))</f>
        <v>0</v>
      </c>
      <c r="AS31" s="100"/>
      <c r="AT31" s="26"/>
      <c r="AU31" s="26"/>
      <c r="AV31" s="26"/>
      <c r="AW31" s="39">
        <v>2</v>
      </c>
      <c r="AX31" s="39">
        <v>1</v>
      </c>
      <c r="AY31" s="98">
        <f t="array" ref="AY31">SUM(Reference7*IFERROR(($F$4:$L$4-$AY$21)^AW31,1)*IFERROR(($E$5:$E$13-$AY$22)^AX31,1))</f>
        <v>19.33333333333335</v>
      </c>
      <c r="AZ31" s="100"/>
      <c r="BA31" s="26"/>
      <c r="BB31" s="26"/>
      <c r="BC31" s="26"/>
      <c r="BD31" s="39">
        <v>2</v>
      </c>
      <c r="BE31" s="39">
        <v>1</v>
      </c>
      <c r="BF31" s="104">
        <f t="array" ref="BF31">SUM(Reference8*IFERROR(($F$4:$L$4-$BF$21)^BD31,1)*IFERROR(($E$5:$E$13-$BF$22)^BE31,1))</f>
        <v>-15.999999999999986</v>
      </c>
      <c r="BG31" s="105"/>
      <c r="BH31" s="26"/>
      <c r="BI31" s="26"/>
      <c r="BJ31" s="26"/>
      <c r="BK31" s="39">
        <v>2</v>
      </c>
      <c r="BL31" s="39">
        <v>1</v>
      </c>
      <c r="BM31" s="98">
        <f t="array" ref="BM31">SUM(Reference9*IFERROR(($F$4:$L$4-$BM$21)^BK31,1)*IFERROR(($E$5:$E$13-$BM$22)^BL31,1))</f>
        <v>0</v>
      </c>
      <c r="BN31" s="100"/>
      <c r="BO31" s="26"/>
      <c r="BP31" s="26"/>
      <c r="BQ31" s="26"/>
      <c r="BR31" s="39">
        <v>2</v>
      </c>
      <c r="BS31" s="39">
        <v>1</v>
      </c>
      <c r="BT31" s="98">
        <f t="array" ref="BT31">SUM(Reference10*IFERROR(($F$4:$L$4-$BT$21)^BR31,1)*IFERROR(($E$5:$E$13-$BT$22)^BS31,1))</f>
        <v>-19.33333333333335</v>
      </c>
      <c r="BU31" s="99"/>
      <c r="BV31" s="26"/>
      <c r="BW31" s="26"/>
      <c r="BX31" s="26"/>
      <c r="BY31" s="39">
        <v>2</v>
      </c>
      <c r="BZ31" s="39">
        <v>1</v>
      </c>
      <c r="CA31" s="98">
        <f t="array" ref="CA31">SUM(Reference11*IFERROR(($F$4:$L$4-CA27)^BY31,1)*IFERROR(($E$5:$E$13-CA28)^BZ31,1))</f>
        <v>25</v>
      </c>
      <c r="CB31" s="99"/>
      <c r="CC31" s="26"/>
      <c r="CD31" s="26"/>
      <c r="CE31" s="26"/>
      <c r="CF31" s="39">
        <v>2</v>
      </c>
      <c r="CG31" s="39">
        <v>1</v>
      </c>
      <c r="CH31" s="98">
        <f t="array" ref="CH31">SUM(Reference12*IFERROR(($F$4:$L$4-$CH$21)^CF31,1)*IFERROR(($E$5:$E$13-$CH$22)^CG31,1))</f>
        <v>3.5527136788005009E-15</v>
      </c>
      <c r="CI31" s="99"/>
      <c r="CS31" s="7"/>
      <c r="CT31" s="60">
        <v>9</v>
      </c>
      <c r="CU31" s="8"/>
      <c r="CV31" s="60" t="s">
        <v>43</v>
      </c>
      <c r="CW31" s="8"/>
      <c r="CX31" s="59" t="str">
        <f t="shared" si="0"/>
        <v>$BJ$5:$BP$13</v>
      </c>
      <c r="CY31" s="7"/>
      <c r="CZ31" s="7"/>
      <c r="DA31" s="7"/>
      <c r="DB31" s="7"/>
      <c r="DC31" s="7"/>
      <c r="DD31" s="7"/>
      <c r="DE31" s="7"/>
      <c r="DF31" s="7"/>
      <c r="DG31" s="7"/>
      <c r="DH31" s="7"/>
    </row>
    <row r="32" spans="4:112" ht="16.5" hidden="1" thickTop="1" thickBot="1" x14ac:dyDescent="0.3">
      <c r="D32" s="44" t="s">
        <v>18</v>
      </c>
      <c r="E32" s="27"/>
      <c r="F32" s="27"/>
      <c r="G32" s="40">
        <v>1</v>
      </c>
      <c r="H32" s="40">
        <v>2</v>
      </c>
      <c r="I32" s="93">
        <f t="array" ref="I32">SUM(Reference1*IFERROR(($F$4:$L$4-$I$21)^G32,1)*IFERROR(($E$5:$E$13-$I$22)^H32,1))</f>
        <v>0</v>
      </c>
      <c r="J32" s="94"/>
      <c r="K32" s="27"/>
      <c r="L32" s="27"/>
      <c r="M32" s="27"/>
      <c r="N32" s="40">
        <v>1</v>
      </c>
      <c r="O32" s="40">
        <v>2</v>
      </c>
      <c r="P32" s="93">
        <f t="array" ref="P32">SUM(Reference2*IFERROR(($F$4:$L$4-$P$21)^N32,1)*IFERROR(($E$5:$E$13-$P$22)^O32,1))</f>
        <v>0</v>
      </c>
      <c r="Q32" s="94"/>
      <c r="R32" s="27"/>
      <c r="S32" s="27"/>
      <c r="T32" s="27"/>
      <c r="U32" s="40">
        <v>1</v>
      </c>
      <c r="V32" s="40">
        <v>2</v>
      </c>
      <c r="W32" s="93">
        <f t="array" ref="W32">SUM(Reference3*IFERROR(($F$4:$L$4-$W$21)^U32,1)*IFERROR(($E$5:$E$13-$W$22)^V32,1))</f>
        <v>0</v>
      </c>
      <c r="X32" s="94"/>
      <c r="Y32" s="27"/>
      <c r="Z32" s="27"/>
      <c r="AA32" s="27"/>
      <c r="AB32" s="40">
        <v>1</v>
      </c>
      <c r="AC32" s="40">
        <v>2</v>
      </c>
      <c r="AD32" s="117">
        <f t="array" ref="AD32">SUM(Reference4*IFERROR(($F$4:$L$4-$AD$21)^AB32,1)*IFERROR(($E$5:$E$13-$AD$22)^AC32,1))</f>
        <v>-43.199999999999982</v>
      </c>
      <c r="AE32" s="118"/>
      <c r="AF32" s="27"/>
      <c r="AG32" s="27"/>
      <c r="AH32" s="27"/>
      <c r="AI32" s="40">
        <v>1</v>
      </c>
      <c r="AJ32" s="40">
        <v>2</v>
      </c>
      <c r="AK32" s="93">
        <f t="array" ref="AK32">SUM(Reference5*IFERROR(($F$4:$L$4-$AK$21)^AI32,1)*IFERROR(($E$5:$E$13-$AK$22)^AJ32,1))</f>
        <v>22</v>
      </c>
      <c r="AL32" s="94"/>
      <c r="AM32" s="27"/>
      <c r="AN32" s="27"/>
      <c r="AO32" s="27"/>
      <c r="AP32" s="40">
        <v>1</v>
      </c>
      <c r="AQ32" s="40">
        <v>2</v>
      </c>
      <c r="AR32" s="117">
        <f t="array" ref="AR32">SUM(Reference6*IFERROR(($F$4:$L$4-$AR$21)^AP32,1)*IFERROR(($E$5:$E$13-$AR$22)^AQ32,1))</f>
        <v>0</v>
      </c>
      <c r="AS32" s="118"/>
      <c r="AT32" s="27"/>
      <c r="AU32" s="27"/>
      <c r="AV32" s="27"/>
      <c r="AW32" s="40">
        <v>1</v>
      </c>
      <c r="AX32" s="40">
        <v>2</v>
      </c>
      <c r="AY32" s="117">
        <f t="array" ref="AY32">SUM(Reference7*IFERROR(($F$4:$L$4-$AY$21)^AW32,1)*IFERROR(($E$5:$E$13-$AY$22)^AX32,1))</f>
        <v>8.6666666666666963</v>
      </c>
      <c r="AZ32" s="118"/>
      <c r="BA32" s="27"/>
      <c r="BB32" s="27"/>
      <c r="BC32" s="27"/>
      <c r="BD32" s="40">
        <v>1</v>
      </c>
      <c r="BE32" s="40">
        <v>2</v>
      </c>
      <c r="BF32" s="106">
        <f t="array" ref="BF32">SUM(Reference8*IFERROR(($F$4:$L$4-$BF$21)^BD32,1)*IFERROR(($E$5:$E$13-$BF$22)^BE32,1))</f>
        <v>-2.666666666666643</v>
      </c>
      <c r="BG32" s="107"/>
      <c r="BH32" s="27"/>
      <c r="BI32" s="27"/>
      <c r="BJ32" s="27"/>
      <c r="BK32" s="40">
        <v>1</v>
      </c>
      <c r="BL32" s="40">
        <v>2</v>
      </c>
      <c r="BM32" s="93">
        <f t="array" ref="BM32">SUM(Reference9*IFERROR(($F$4:$L$4-$BM$21)^BK32,1)*IFERROR(($E$5:$E$13-$BM$22)^BL32,1))</f>
        <v>0</v>
      </c>
      <c r="BN32" s="94"/>
      <c r="BO32" s="27"/>
      <c r="BP32" s="27"/>
      <c r="BQ32" s="27"/>
      <c r="BR32" s="40">
        <v>1</v>
      </c>
      <c r="BS32" s="40">
        <v>2</v>
      </c>
      <c r="BT32" s="93">
        <f t="array" ref="BT32">SUM(Reference10*IFERROR(($F$4:$L$4-$BT$21)^BR32,1)*IFERROR(($E$5:$E$13-$BT$22)^BS32,1))</f>
        <v>-8.6666666666666323</v>
      </c>
      <c r="BU32" s="97"/>
      <c r="BV32" s="27"/>
      <c r="BW32" s="27"/>
      <c r="BX32" s="27"/>
      <c r="BY32" s="40">
        <v>1</v>
      </c>
      <c r="BZ32" s="40">
        <v>2</v>
      </c>
      <c r="CA32" s="93">
        <f t="array" ref="CA32">SUM(Reference11*IFERROR(($F$4:$L$4-CA28)^BY32,1)*IFERROR(($E$5:$E$13-CA29)^BZ32,1))</f>
        <v>-26912</v>
      </c>
      <c r="CB32" s="97"/>
      <c r="CC32" s="27"/>
      <c r="CD32" s="27"/>
      <c r="CE32" s="27"/>
      <c r="CF32" s="40">
        <v>1</v>
      </c>
      <c r="CG32" s="40">
        <v>2</v>
      </c>
      <c r="CH32" s="117">
        <f t="array" ref="CH32">SUM(Reference12*IFERROR(($F$4:$L$4-$CH$21)^CF32,1)*IFERROR(($E$5:$E$13-$CH$22)^CG32,1))</f>
        <v>43.199999999999982</v>
      </c>
      <c r="CI32" s="159"/>
      <c r="CS32" s="7"/>
      <c r="CT32" s="60">
        <v>10</v>
      </c>
      <c r="CU32" s="8"/>
      <c r="CV32" s="60" t="s">
        <v>44</v>
      </c>
      <c r="CW32" s="8"/>
      <c r="CX32" s="59" t="str">
        <f t="shared" si="0"/>
        <v>$BQ$5:$BW$13</v>
      </c>
      <c r="CY32" s="7"/>
      <c r="CZ32" s="7"/>
      <c r="DA32" s="7"/>
      <c r="DB32" s="7"/>
      <c r="DC32" s="7"/>
      <c r="DD32" s="7"/>
      <c r="DE32" s="7"/>
      <c r="DF32" s="7"/>
      <c r="DG32" s="7"/>
      <c r="DH32" s="7"/>
    </row>
    <row r="33" spans="1:112" ht="15.75" hidden="1" thickBot="1" x14ac:dyDescent="0.3">
      <c r="AD33" s="22"/>
      <c r="AE33" s="22"/>
      <c r="AR33" s="22"/>
      <c r="AS33" s="22"/>
      <c r="AY33" s="22"/>
      <c r="AZ33" s="22"/>
      <c r="BG33" s="22"/>
      <c r="BM33" s="27"/>
      <c r="CH33" s="27"/>
      <c r="CS33" s="7"/>
      <c r="CT33" s="60">
        <v>11</v>
      </c>
      <c r="CU33" s="8"/>
      <c r="CV33" s="60" t="s">
        <v>45</v>
      </c>
      <c r="CW33" s="8"/>
      <c r="CX33" s="59" t="str">
        <f t="shared" si="0"/>
        <v>$BX$5:$CD$13</v>
      </c>
      <c r="CY33" s="7"/>
      <c r="CZ33" s="7"/>
      <c r="DA33" s="7"/>
      <c r="DB33" s="7"/>
      <c r="DC33" s="7"/>
      <c r="DD33" s="7"/>
      <c r="DE33" s="7"/>
      <c r="DF33" s="7"/>
      <c r="DG33" s="7"/>
      <c r="DH33" s="7"/>
    </row>
    <row r="34" spans="1:112" ht="15.75" hidden="1" thickBot="1" x14ac:dyDescent="0.3">
      <c r="D34" s="42" t="s">
        <v>28</v>
      </c>
      <c r="E34" s="22"/>
      <c r="F34" s="22"/>
      <c r="G34" s="33" t="s">
        <v>9</v>
      </c>
      <c r="H34" s="33" t="s">
        <v>10</v>
      </c>
      <c r="I34" s="33" t="s">
        <v>8</v>
      </c>
      <c r="J34" s="33"/>
      <c r="K34" s="22"/>
      <c r="L34" s="22"/>
      <c r="M34" s="22"/>
      <c r="N34" s="33" t="s">
        <v>9</v>
      </c>
      <c r="O34" s="33" t="s">
        <v>10</v>
      </c>
      <c r="P34" s="33" t="s">
        <v>8</v>
      </c>
      <c r="Q34" s="33"/>
      <c r="R34" s="22"/>
      <c r="S34" s="22"/>
      <c r="T34" s="22"/>
      <c r="U34" s="33" t="s">
        <v>9</v>
      </c>
      <c r="V34" s="33" t="s">
        <v>10</v>
      </c>
      <c r="W34" s="33" t="s">
        <v>8</v>
      </c>
      <c r="X34" s="33"/>
      <c r="Y34" s="22"/>
      <c r="Z34" s="22"/>
      <c r="AA34" s="22"/>
      <c r="AB34" s="33" t="s">
        <v>9</v>
      </c>
      <c r="AC34" s="33" t="s">
        <v>10</v>
      </c>
      <c r="AD34" s="33" t="s">
        <v>8</v>
      </c>
      <c r="AE34" s="33"/>
      <c r="AF34" s="22"/>
      <c r="AG34" s="22"/>
      <c r="AH34" s="22"/>
      <c r="AI34" s="33" t="s">
        <v>9</v>
      </c>
      <c r="AJ34" s="33" t="s">
        <v>10</v>
      </c>
      <c r="AK34" s="33" t="s">
        <v>8</v>
      </c>
      <c r="AL34" s="33"/>
      <c r="AM34" s="22"/>
      <c r="AN34" s="22"/>
      <c r="AO34" s="22"/>
      <c r="AP34" s="33" t="s">
        <v>9</v>
      </c>
      <c r="AQ34" s="33" t="s">
        <v>10</v>
      </c>
      <c r="AR34" s="33" t="s">
        <v>8</v>
      </c>
      <c r="AS34" s="33"/>
      <c r="AT34" s="22"/>
      <c r="AU34" s="22"/>
      <c r="AV34" s="22"/>
      <c r="AW34" s="33" t="s">
        <v>9</v>
      </c>
      <c r="AX34" s="33" t="s">
        <v>10</v>
      </c>
      <c r="AY34" s="33" t="s">
        <v>8</v>
      </c>
      <c r="AZ34" s="33"/>
      <c r="BA34" s="22"/>
      <c r="BB34" s="22"/>
      <c r="BC34" s="22"/>
      <c r="BD34" s="33" t="s">
        <v>9</v>
      </c>
      <c r="BE34" s="33" t="s">
        <v>10</v>
      </c>
      <c r="BF34" s="33" t="s">
        <v>8</v>
      </c>
      <c r="BG34" s="33"/>
      <c r="BH34" s="22"/>
      <c r="BI34" s="22"/>
      <c r="BJ34" s="22"/>
      <c r="BK34" s="33" t="s">
        <v>9</v>
      </c>
      <c r="BL34" s="33" t="s">
        <v>10</v>
      </c>
      <c r="BM34" s="33" t="s">
        <v>8</v>
      </c>
      <c r="BN34" s="33"/>
      <c r="BO34" s="22"/>
      <c r="BP34" s="22"/>
      <c r="BQ34" s="22"/>
      <c r="BR34" s="33" t="s">
        <v>9</v>
      </c>
      <c r="BS34" s="33" t="s">
        <v>10</v>
      </c>
      <c r="BT34" s="33" t="s">
        <v>8</v>
      </c>
      <c r="BU34" s="34"/>
      <c r="BV34" s="22"/>
      <c r="BW34" s="22"/>
      <c r="BX34" s="22"/>
      <c r="BY34" s="33" t="s">
        <v>9</v>
      </c>
      <c r="BZ34" s="33" t="s">
        <v>10</v>
      </c>
      <c r="CA34" s="33" t="s">
        <v>8</v>
      </c>
      <c r="CB34" s="34"/>
      <c r="CC34" s="22"/>
      <c r="CD34" s="22"/>
      <c r="CE34" s="22"/>
      <c r="CF34" s="33" t="s">
        <v>9</v>
      </c>
      <c r="CG34" s="33" t="s">
        <v>10</v>
      </c>
      <c r="CH34" s="33" t="s">
        <v>8</v>
      </c>
      <c r="CI34" s="34"/>
      <c r="CS34" s="7"/>
      <c r="CT34" s="61">
        <v>12</v>
      </c>
      <c r="CU34" s="8"/>
      <c r="CV34" s="60" t="s">
        <v>46</v>
      </c>
      <c r="CW34" s="8"/>
      <c r="CX34" s="59" t="str">
        <f t="shared" si="0"/>
        <v>$CE$5:$CK$13</v>
      </c>
      <c r="CY34" s="7"/>
      <c r="CZ34" s="7"/>
      <c r="DA34" s="7"/>
      <c r="DB34" s="7"/>
      <c r="DC34" s="7"/>
      <c r="DD34" s="7"/>
      <c r="DE34" s="7"/>
      <c r="DF34" s="7"/>
      <c r="DG34" s="7"/>
      <c r="DH34" s="7"/>
    </row>
    <row r="35" spans="1:112" ht="15.75" hidden="1" thickBot="1" x14ac:dyDescent="0.3">
      <c r="D35" s="43" t="s">
        <v>20</v>
      </c>
      <c r="E35" s="26"/>
      <c r="F35" s="26"/>
      <c r="G35" s="41">
        <v>2</v>
      </c>
      <c r="H35" s="41">
        <v>0</v>
      </c>
      <c r="I35" s="95">
        <f t="shared" ref="I35:I41" si="1">I26/($I$25*(1+(G35+H35)/2))</f>
        <v>1.4444444444444444</v>
      </c>
      <c r="J35" s="101"/>
      <c r="K35" s="26"/>
      <c r="L35" s="26"/>
      <c r="M35" s="26"/>
      <c r="N35" s="41">
        <v>2</v>
      </c>
      <c r="O35" s="41">
        <v>0</v>
      </c>
      <c r="P35" s="95">
        <f t="shared" ref="P35:P41" si="2">P26/($P$25*(1+(G35+H35)/2))</f>
        <v>0</v>
      </c>
      <c r="Q35" s="101"/>
      <c r="R35" s="26"/>
      <c r="S35" s="26"/>
      <c r="T35" s="26"/>
      <c r="U35" s="41">
        <v>2</v>
      </c>
      <c r="V35" s="41">
        <v>0</v>
      </c>
      <c r="W35" s="95">
        <f t="shared" ref="W35:W41" si="3">W26/($W$25*(1+(G35+H35)/2))</f>
        <v>1</v>
      </c>
      <c r="X35" s="101"/>
      <c r="Y35" s="26"/>
      <c r="Z35" s="26"/>
      <c r="AA35" s="26"/>
      <c r="AB35" s="41">
        <v>2</v>
      </c>
      <c r="AC35" s="41">
        <v>0</v>
      </c>
      <c r="AD35" s="95">
        <f t="shared" ref="AD35:AD41" si="4">AD26/($AD$25*(1+(G35+H35)/2))</f>
        <v>0.68</v>
      </c>
      <c r="AE35" s="101"/>
      <c r="AF35" s="26"/>
      <c r="AG35" s="26"/>
      <c r="AH35" s="26"/>
      <c r="AI35" s="41">
        <v>2</v>
      </c>
      <c r="AJ35" s="41">
        <v>0</v>
      </c>
      <c r="AK35" s="95">
        <f t="shared" ref="AK35:AK41" si="5">AK26/($AK$25*(1+(G35+H35)/2))</f>
        <v>1.4583333333333333</v>
      </c>
      <c r="AL35" s="101"/>
      <c r="AM35" s="26"/>
      <c r="AN35" s="26"/>
      <c r="AO35" s="26"/>
      <c r="AP35" s="41">
        <v>2</v>
      </c>
      <c r="AQ35" s="41">
        <v>0</v>
      </c>
      <c r="AR35" s="95">
        <f t="shared" ref="AR35:AR41" si="6">AR26/($AR$25*(1+(G35+H35)/2))</f>
        <v>1</v>
      </c>
      <c r="AS35" s="101"/>
      <c r="AT35" s="26"/>
      <c r="AU35" s="26"/>
      <c r="AV35" s="26"/>
      <c r="AW35" s="41">
        <v>2</v>
      </c>
      <c r="AX35" s="41">
        <v>0</v>
      </c>
      <c r="AY35" s="95">
        <f t="shared" ref="AY35:AY41" si="7">AY26/($AY$25*(1+(G35+H35)/2))</f>
        <v>1.1111111111111112</v>
      </c>
      <c r="AZ35" s="101"/>
      <c r="BA35" s="26"/>
      <c r="BB35" s="26"/>
      <c r="BC35" s="26"/>
      <c r="BD35" s="41">
        <v>2</v>
      </c>
      <c r="BE35" s="41">
        <v>0</v>
      </c>
      <c r="BF35" s="95">
        <f t="shared" ref="BF35:BF41" si="8">BF26/($BF$25*(1+(G35+H35)/2))</f>
        <v>0.55555555555555547</v>
      </c>
      <c r="BG35" s="101"/>
      <c r="BH35" s="26"/>
      <c r="BI35" s="26"/>
      <c r="BJ35" s="26"/>
      <c r="BK35" s="41">
        <v>2</v>
      </c>
      <c r="BL35" s="41">
        <v>0</v>
      </c>
      <c r="BM35" s="95">
        <f t="shared" ref="BM35:BM41" si="9">BM26/($BM$25*(1+(G35+H35)/2))</f>
        <v>1.2857142857142858</v>
      </c>
      <c r="BN35" s="101"/>
      <c r="BO35" s="26"/>
      <c r="BP35" s="26"/>
      <c r="BQ35" s="26"/>
      <c r="BR35" s="41">
        <v>2</v>
      </c>
      <c r="BS35" s="41">
        <v>0</v>
      </c>
      <c r="BT35" s="95">
        <f t="shared" ref="BT35:BT41" si="10">BT26/($BT$25*(1+(G35+H35)/2))</f>
        <v>1.1111111111111114</v>
      </c>
      <c r="BU35" s="96"/>
      <c r="BV35" s="26"/>
      <c r="BW35" s="26"/>
      <c r="BX35" s="26"/>
      <c r="BY35" s="41">
        <v>2</v>
      </c>
      <c r="BZ35" s="41">
        <v>0</v>
      </c>
      <c r="CA35" s="95">
        <f t="shared" ref="CA35:CA41" si="11">CA26/($BT$25*(1+(N35+O35)/2))</f>
        <v>0.25</v>
      </c>
      <c r="CB35" s="96"/>
      <c r="CC35" s="26"/>
      <c r="CD35" s="26"/>
      <c r="CE35" s="26"/>
      <c r="CF35" s="41">
        <v>2</v>
      </c>
      <c r="CG35" s="41">
        <v>0</v>
      </c>
      <c r="CH35" s="95">
        <f t="shared" ref="CH35:CH41" si="12">CH26/($BT$25*(1+(U35+V35)/2))</f>
        <v>0.56666666666666676</v>
      </c>
      <c r="CI35" s="96"/>
      <c r="CS35" s="7"/>
      <c r="CT35" s="57"/>
      <c r="CU35" s="8"/>
      <c r="CV35" s="62"/>
      <c r="CW35" s="7"/>
      <c r="CX35" s="62"/>
      <c r="CY35" s="7"/>
      <c r="CZ35" s="7"/>
      <c r="DA35" s="7"/>
      <c r="DB35" s="7"/>
      <c r="DC35" s="7"/>
      <c r="DD35" s="7"/>
      <c r="DE35" s="7"/>
      <c r="DF35" s="7"/>
      <c r="DG35" s="7"/>
      <c r="DH35" s="7"/>
    </row>
    <row r="36" spans="1:112" ht="16.5" hidden="1" thickTop="1" thickBot="1" x14ac:dyDescent="0.3">
      <c r="D36" s="43" t="s">
        <v>21</v>
      </c>
      <c r="E36" s="26"/>
      <c r="F36" s="26"/>
      <c r="G36" s="39">
        <v>0</v>
      </c>
      <c r="H36" s="39">
        <v>2</v>
      </c>
      <c r="I36" s="98">
        <f t="shared" si="1"/>
        <v>4.2222222222222223</v>
      </c>
      <c r="J36" s="100"/>
      <c r="K36" s="26"/>
      <c r="L36" s="26"/>
      <c r="M36" s="26"/>
      <c r="N36" s="39">
        <v>0</v>
      </c>
      <c r="O36" s="39">
        <v>2</v>
      </c>
      <c r="P36" s="98">
        <f t="shared" si="2"/>
        <v>2.3333333333333335</v>
      </c>
      <c r="Q36" s="100"/>
      <c r="R36" s="26"/>
      <c r="S36" s="26"/>
      <c r="T36" s="26"/>
      <c r="U36" s="39">
        <v>0</v>
      </c>
      <c r="V36" s="39">
        <v>2</v>
      </c>
      <c r="W36" s="98">
        <f t="shared" si="3"/>
        <v>4.1333333333333337</v>
      </c>
      <c r="X36" s="100"/>
      <c r="Y36" s="26"/>
      <c r="Z36" s="26"/>
      <c r="AA36" s="26"/>
      <c r="AB36" s="39">
        <v>0</v>
      </c>
      <c r="AC36" s="39">
        <v>2</v>
      </c>
      <c r="AD36" s="98">
        <f t="shared" si="4"/>
        <v>4.1333333333333337</v>
      </c>
      <c r="AE36" s="100"/>
      <c r="AF36" s="26"/>
      <c r="AG36" s="26"/>
      <c r="AH36" s="26"/>
      <c r="AI36" s="39">
        <v>0</v>
      </c>
      <c r="AJ36" s="39">
        <v>2</v>
      </c>
      <c r="AK36" s="98">
        <f t="shared" si="5"/>
        <v>1.625</v>
      </c>
      <c r="AL36" s="100"/>
      <c r="AM36" s="26"/>
      <c r="AN36" s="26"/>
      <c r="AO36" s="26"/>
      <c r="AP36" s="39">
        <v>0</v>
      </c>
      <c r="AQ36" s="39">
        <v>2</v>
      </c>
      <c r="AR36" s="98">
        <f t="shared" si="6"/>
        <v>4.1333333333333337</v>
      </c>
      <c r="AS36" s="100"/>
      <c r="AT36" s="26"/>
      <c r="AU36" s="26"/>
      <c r="AV36" s="26"/>
      <c r="AW36" s="39">
        <v>0</v>
      </c>
      <c r="AX36" s="39">
        <v>2</v>
      </c>
      <c r="AY36" s="98">
        <f t="shared" si="7"/>
        <v>3.7777777777777777</v>
      </c>
      <c r="AZ36" s="100"/>
      <c r="BA36" s="26"/>
      <c r="BB36" s="26"/>
      <c r="BC36" s="26"/>
      <c r="BD36" s="39">
        <v>0</v>
      </c>
      <c r="BE36" s="39">
        <v>2</v>
      </c>
      <c r="BF36" s="98">
        <f t="shared" si="8"/>
        <v>3.3333333333333335</v>
      </c>
      <c r="BG36" s="100"/>
      <c r="BH36" s="26"/>
      <c r="BI36" s="26"/>
      <c r="BJ36" s="26"/>
      <c r="BK36" s="39">
        <v>0</v>
      </c>
      <c r="BL36" s="39">
        <v>2</v>
      </c>
      <c r="BM36" s="98">
        <f t="shared" si="9"/>
        <v>3.6190476190476191</v>
      </c>
      <c r="BN36" s="100"/>
      <c r="BO36" s="26"/>
      <c r="BP36" s="26"/>
      <c r="BQ36" s="26"/>
      <c r="BR36" s="39">
        <v>0</v>
      </c>
      <c r="BS36" s="39">
        <v>2</v>
      </c>
      <c r="BT36" s="98">
        <f t="shared" si="10"/>
        <v>3.7777777777777777</v>
      </c>
      <c r="BU36" s="99"/>
      <c r="BV36" s="26"/>
      <c r="BW36" s="26"/>
      <c r="BX36" s="26"/>
      <c r="BY36" s="39">
        <v>0</v>
      </c>
      <c r="BZ36" s="39">
        <v>2</v>
      </c>
      <c r="CA36" s="98">
        <f t="shared" si="11"/>
        <v>2.7777777777777776E-2</v>
      </c>
      <c r="CB36" s="99"/>
      <c r="CC36" s="26"/>
      <c r="CD36" s="26"/>
      <c r="CE36" s="26"/>
      <c r="CF36" s="39">
        <v>0</v>
      </c>
      <c r="CG36" s="39">
        <v>2</v>
      </c>
      <c r="CH36" s="98">
        <f t="shared" si="12"/>
        <v>3.4444444444444446</v>
      </c>
      <c r="CI36" s="99"/>
      <c r="CS36" s="7"/>
      <c r="CT36" s="57"/>
      <c r="CU36" s="8"/>
      <c r="CV36" s="62"/>
      <c r="CW36" s="7"/>
      <c r="CX36" s="62"/>
      <c r="CY36" s="7"/>
      <c r="CZ36" s="7"/>
      <c r="DA36" s="7"/>
      <c r="DB36" s="7"/>
      <c r="DC36" s="7"/>
      <c r="DD36" s="7"/>
      <c r="DE36" s="7"/>
      <c r="DF36" s="7"/>
      <c r="DG36" s="7"/>
      <c r="DH36" s="7"/>
    </row>
    <row r="37" spans="1:112" ht="16.5" hidden="1" thickTop="1" thickBot="1" x14ac:dyDescent="0.3">
      <c r="D37" s="43" t="s">
        <v>22</v>
      </c>
      <c r="E37" s="26"/>
      <c r="F37" s="26"/>
      <c r="G37" s="39">
        <v>1</v>
      </c>
      <c r="H37" s="39">
        <v>1</v>
      </c>
      <c r="I37" s="98">
        <f t="shared" si="1"/>
        <v>0</v>
      </c>
      <c r="J37" s="100"/>
      <c r="K37" s="26"/>
      <c r="L37" s="26"/>
      <c r="M37" s="26"/>
      <c r="N37" s="39">
        <v>1</v>
      </c>
      <c r="O37" s="39">
        <v>1</v>
      </c>
      <c r="P37" s="98">
        <f t="shared" si="2"/>
        <v>0</v>
      </c>
      <c r="Q37" s="100"/>
      <c r="R37" s="26"/>
      <c r="S37" s="26"/>
      <c r="T37" s="26"/>
      <c r="U37" s="39">
        <v>1</v>
      </c>
      <c r="V37" s="39">
        <v>1</v>
      </c>
      <c r="W37" s="98">
        <f t="shared" si="3"/>
        <v>-0.8</v>
      </c>
      <c r="X37" s="100"/>
      <c r="Y37" s="26"/>
      <c r="Z37" s="26"/>
      <c r="AA37" s="26"/>
      <c r="AB37" s="39">
        <v>1</v>
      </c>
      <c r="AC37" s="39">
        <v>1</v>
      </c>
      <c r="AD37" s="98">
        <f t="shared" si="4"/>
        <v>0</v>
      </c>
      <c r="AE37" s="100"/>
      <c r="AF37" s="26"/>
      <c r="AG37" s="26"/>
      <c r="AH37" s="26"/>
      <c r="AI37" s="39">
        <v>1</v>
      </c>
      <c r="AJ37" s="39">
        <v>1</v>
      </c>
      <c r="AK37" s="98">
        <f t="shared" si="5"/>
        <v>0.625</v>
      </c>
      <c r="AL37" s="100"/>
      <c r="AM37" s="26"/>
      <c r="AN37" s="26"/>
      <c r="AO37" s="26"/>
      <c r="AP37" s="39">
        <v>1</v>
      </c>
      <c r="AQ37" s="39">
        <v>1</v>
      </c>
      <c r="AR37" s="98">
        <f t="shared" si="6"/>
        <v>0.8</v>
      </c>
      <c r="AS37" s="100"/>
      <c r="AT37" s="26"/>
      <c r="AU37" s="26"/>
      <c r="AV37" s="26"/>
      <c r="AW37" s="39">
        <v>1</v>
      </c>
      <c r="AX37" s="39">
        <v>1</v>
      </c>
      <c r="AY37" s="98">
        <f t="shared" si="7"/>
        <v>0.3888888888888889</v>
      </c>
      <c r="AZ37" s="100"/>
      <c r="BA37" s="26"/>
      <c r="BB37" s="26"/>
      <c r="BC37" s="26"/>
      <c r="BD37" s="39">
        <v>1</v>
      </c>
      <c r="BE37" s="39">
        <v>1</v>
      </c>
      <c r="BF37" s="98">
        <f t="shared" si="8"/>
        <v>0.88888888888888884</v>
      </c>
      <c r="BG37" s="100"/>
      <c r="BH37" s="26"/>
      <c r="BI37" s="26"/>
      <c r="BJ37" s="26"/>
      <c r="BK37" s="39">
        <v>1</v>
      </c>
      <c r="BL37" s="39">
        <v>1</v>
      </c>
      <c r="BM37" s="98">
        <f t="shared" si="9"/>
        <v>0</v>
      </c>
      <c r="BN37" s="100"/>
      <c r="BO37" s="26"/>
      <c r="BP37" s="26"/>
      <c r="BQ37" s="26"/>
      <c r="BR37" s="39">
        <v>1</v>
      </c>
      <c r="BS37" s="39">
        <v>1</v>
      </c>
      <c r="BT37" s="98">
        <f t="shared" si="10"/>
        <v>0.3888888888888889</v>
      </c>
      <c r="BU37" s="99"/>
      <c r="BV37" s="26"/>
      <c r="BW37" s="26"/>
      <c r="BX37" s="26"/>
      <c r="BY37" s="39">
        <v>1</v>
      </c>
      <c r="BZ37" s="39">
        <v>1</v>
      </c>
      <c r="CA37" s="98">
        <f t="shared" si="11"/>
        <v>0.22222222222222221</v>
      </c>
      <c r="CB37" s="99"/>
      <c r="CC37" s="26"/>
      <c r="CD37" s="26"/>
      <c r="CE37" s="26"/>
      <c r="CF37" s="39">
        <v>1</v>
      </c>
      <c r="CG37" s="39">
        <v>1</v>
      </c>
      <c r="CH37" s="98">
        <f t="shared" si="12"/>
        <v>0</v>
      </c>
      <c r="CI37" s="99"/>
      <c r="CS37" s="7"/>
      <c r="CT37" s="57"/>
      <c r="CU37" s="8"/>
      <c r="CV37" s="62"/>
      <c r="CW37" s="7"/>
      <c r="CX37" s="63"/>
      <c r="CY37" s="7" t="s">
        <v>32</v>
      </c>
      <c r="CZ37" s="7"/>
      <c r="DA37" s="7"/>
      <c r="DB37" s="7"/>
      <c r="DC37" s="7"/>
      <c r="DD37" s="7"/>
      <c r="DE37" s="7"/>
      <c r="DF37" s="7"/>
      <c r="DG37" s="7"/>
      <c r="DH37" s="7"/>
    </row>
    <row r="38" spans="1:112" ht="16.5" hidden="1" thickTop="1" thickBot="1" x14ac:dyDescent="0.3">
      <c r="D38" s="43" t="s">
        <v>23</v>
      </c>
      <c r="E38" s="26"/>
      <c r="F38" s="26"/>
      <c r="G38" s="39">
        <v>3</v>
      </c>
      <c r="H38" s="39">
        <v>0</v>
      </c>
      <c r="I38" s="98">
        <f t="shared" si="1"/>
        <v>0</v>
      </c>
      <c r="J38" s="100"/>
      <c r="K38" s="26"/>
      <c r="L38" s="26"/>
      <c r="M38" s="26"/>
      <c r="N38" s="39">
        <v>3</v>
      </c>
      <c r="O38" s="39">
        <v>0</v>
      </c>
      <c r="P38" s="98">
        <f t="shared" si="2"/>
        <v>0</v>
      </c>
      <c r="Q38" s="100"/>
      <c r="R38" s="26"/>
      <c r="S38" s="26"/>
      <c r="T38" s="26"/>
      <c r="U38" s="39">
        <v>3</v>
      </c>
      <c r="V38" s="39">
        <v>0</v>
      </c>
      <c r="W38" s="98">
        <f t="shared" si="3"/>
        <v>0</v>
      </c>
      <c r="X38" s="100"/>
      <c r="Y38" s="26"/>
      <c r="Z38" s="26"/>
      <c r="AA38" s="26"/>
      <c r="AB38" s="39">
        <v>3</v>
      </c>
      <c r="AC38" s="39">
        <v>0</v>
      </c>
      <c r="AD38" s="98">
        <f t="shared" si="4"/>
        <v>-0.23039999999999969</v>
      </c>
      <c r="AE38" s="100"/>
      <c r="AF38" s="26"/>
      <c r="AG38" s="26"/>
      <c r="AH38" s="26"/>
      <c r="AI38" s="39">
        <v>3</v>
      </c>
      <c r="AJ38" s="39">
        <v>0</v>
      </c>
      <c r="AK38" s="98">
        <f t="shared" si="5"/>
        <v>-1</v>
      </c>
      <c r="AL38" s="100"/>
      <c r="AM38" s="26"/>
      <c r="AN38" s="26"/>
      <c r="AO38" s="26"/>
      <c r="AP38" s="39">
        <v>3</v>
      </c>
      <c r="AQ38" s="39">
        <v>0</v>
      </c>
      <c r="AR38" s="98">
        <f t="shared" si="6"/>
        <v>0</v>
      </c>
      <c r="AS38" s="100"/>
      <c r="AT38" s="26"/>
      <c r="AU38" s="26"/>
      <c r="AV38" s="26"/>
      <c r="AW38" s="39">
        <v>3</v>
      </c>
      <c r="AX38" s="39">
        <v>0</v>
      </c>
      <c r="AY38" s="98">
        <f t="shared" si="7"/>
        <v>0.37037037037037085</v>
      </c>
      <c r="AZ38" s="100"/>
      <c r="BA38" s="26"/>
      <c r="BB38" s="26"/>
      <c r="BC38" s="26"/>
      <c r="BD38" s="39">
        <v>3</v>
      </c>
      <c r="BE38" s="39">
        <v>0</v>
      </c>
      <c r="BF38" s="98">
        <f t="shared" si="8"/>
        <v>-0.59259259259259189</v>
      </c>
      <c r="BG38" s="100"/>
      <c r="BH38" s="26"/>
      <c r="BI38" s="26"/>
      <c r="BJ38" s="26"/>
      <c r="BK38" s="39">
        <v>3</v>
      </c>
      <c r="BL38" s="39">
        <v>0</v>
      </c>
      <c r="BM38" s="98">
        <f t="shared" si="9"/>
        <v>0</v>
      </c>
      <c r="BN38" s="100"/>
      <c r="BO38" s="26"/>
      <c r="BP38" s="26"/>
      <c r="BQ38" s="26"/>
      <c r="BR38" s="39">
        <v>3</v>
      </c>
      <c r="BS38" s="39">
        <v>0</v>
      </c>
      <c r="BT38" s="98">
        <f t="shared" si="10"/>
        <v>-0.37037037037036974</v>
      </c>
      <c r="BU38" s="99"/>
      <c r="BV38" s="26"/>
      <c r="BW38" s="26"/>
      <c r="BX38" s="26"/>
      <c r="BY38" s="39">
        <v>3</v>
      </c>
      <c r="BZ38" s="39">
        <v>0</v>
      </c>
      <c r="CA38" s="98">
        <f t="shared" si="11"/>
        <v>2.7777777777777777</v>
      </c>
      <c r="CB38" s="99"/>
      <c r="CC38" s="26"/>
      <c r="CD38" s="26"/>
      <c r="CE38" s="26"/>
      <c r="CF38" s="39">
        <v>3</v>
      </c>
      <c r="CG38" s="39">
        <v>0</v>
      </c>
      <c r="CH38" s="98">
        <f t="shared" si="12"/>
        <v>0.19199999999999978</v>
      </c>
      <c r="CI38" s="99"/>
      <c r="CS38" s="7"/>
      <c r="CT38" s="57"/>
      <c r="CU38" s="8"/>
      <c r="CV38" s="62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</row>
    <row r="39" spans="1:112" ht="16.5" hidden="1" thickTop="1" thickBot="1" x14ac:dyDescent="0.3">
      <c r="D39" s="43" t="s">
        <v>24</v>
      </c>
      <c r="E39" s="26"/>
      <c r="F39" s="26"/>
      <c r="G39" s="39">
        <v>0</v>
      </c>
      <c r="H39" s="39">
        <v>3</v>
      </c>
      <c r="I39" s="98">
        <f t="shared" si="1"/>
        <v>0</v>
      </c>
      <c r="J39" s="100"/>
      <c r="K39" s="26"/>
      <c r="L39" s="26"/>
      <c r="M39" s="26"/>
      <c r="N39" s="39">
        <v>0</v>
      </c>
      <c r="O39" s="39">
        <v>3</v>
      </c>
      <c r="P39" s="98">
        <f t="shared" si="2"/>
        <v>0</v>
      </c>
      <c r="Q39" s="100"/>
      <c r="R39" s="26"/>
      <c r="S39" s="26"/>
      <c r="T39" s="26"/>
      <c r="U39" s="39">
        <v>0</v>
      </c>
      <c r="V39" s="39">
        <v>3</v>
      </c>
      <c r="W39" s="98">
        <f t="shared" si="3"/>
        <v>0</v>
      </c>
      <c r="X39" s="100"/>
      <c r="Y39" s="26"/>
      <c r="Z39" s="26"/>
      <c r="AA39" s="26"/>
      <c r="AB39" s="39">
        <v>0</v>
      </c>
      <c r="AC39" s="39">
        <v>3</v>
      </c>
      <c r="AD39" s="98">
        <f t="shared" si="4"/>
        <v>0</v>
      </c>
      <c r="AE39" s="100"/>
      <c r="AF39" s="26"/>
      <c r="AG39" s="26"/>
      <c r="AH39" s="26"/>
      <c r="AI39" s="39">
        <v>0</v>
      </c>
      <c r="AJ39" s="39">
        <v>3</v>
      </c>
      <c r="AK39" s="98">
        <f t="shared" si="5"/>
        <v>0.8</v>
      </c>
      <c r="AL39" s="100"/>
      <c r="AM39" s="26"/>
      <c r="AN39" s="26"/>
      <c r="AO39" s="26"/>
      <c r="AP39" s="39">
        <v>0</v>
      </c>
      <c r="AQ39" s="39">
        <v>3</v>
      </c>
      <c r="AR39" s="98">
        <f t="shared" si="6"/>
        <v>0</v>
      </c>
      <c r="AS39" s="100"/>
      <c r="AT39" s="26"/>
      <c r="AU39" s="26"/>
      <c r="AV39" s="26"/>
      <c r="AW39" s="39">
        <v>0</v>
      </c>
      <c r="AX39" s="39">
        <v>3</v>
      </c>
      <c r="AY39" s="98">
        <f t="shared" si="7"/>
        <v>-2.2370370370370329</v>
      </c>
      <c r="AZ39" s="100"/>
      <c r="BA39" s="26"/>
      <c r="BB39" s="26"/>
      <c r="BC39" s="26"/>
      <c r="BD39" s="39">
        <v>0</v>
      </c>
      <c r="BE39" s="39">
        <v>3</v>
      </c>
      <c r="BF39" s="98">
        <f t="shared" si="8"/>
        <v>3.0814814814814833</v>
      </c>
      <c r="BG39" s="100"/>
      <c r="BH39" s="26"/>
      <c r="BI39" s="26"/>
      <c r="BJ39" s="26"/>
      <c r="BK39" s="39">
        <v>0</v>
      </c>
      <c r="BL39" s="39">
        <v>3</v>
      </c>
      <c r="BM39" s="98">
        <f t="shared" si="9"/>
        <v>0</v>
      </c>
      <c r="BN39" s="100"/>
      <c r="BO39" s="26"/>
      <c r="BP39" s="26"/>
      <c r="BQ39" s="26"/>
      <c r="BR39" s="39">
        <v>0</v>
      </c>
      <c r="BS39" s="39">
        <v>3</v>
      </c>
      <c r="BT39" s="98">
        <f t="shared" si="10"/>
        <v>2.2370370370370356</v>
      </c>
      <c r="BU39" s="99"/>
      <c r="BV39" s="26"/>
      <c r="BW39" s="26"/>
      <c r="BX39" s="26"/>
      <c r="BY39" s="39">
        <v>0</v>
      </c>
      <c r="BZ39" s="39">
        <v>3</v>
      </c>
      <c r="CA39" s="98">
        <f t="shared" si="11"/>
        <v>11.377777777777778</v>
      </c>
      <c r="CB39" s="99"/>
      <c r="CC39" s="26"/>
      <c r="CD39" s="26"/>
      <c r="CE39" s="26"/>
      <c r="CF39" s="39">
        <v>0</v>
      </c>
      <c r="CG39" s="39">
        <v>3</v>
      </c>
      <c r="CH39" s="98">
        <f t="shared" si="12"/>
        <v>0</v>
      </c>
      <c r="CI39" s="99"/>
      <c r="CS39" s="7"/>
      <c r="CT39" s="57"/>
      <c r="CU39" s="8"/>
      <c r="CV39" s="63"/>
      <c r="CW39" s="64"/>
      <c r="CX39" s="64"/>
      <c r="CY39" s="7" t="s">
        <v>33</v>
      </c>
      <c r="CZ39" s="7"/>
      <c r="DA39" s="7"/>
      <c r="DB39" s="7"/>
      <c r="DC39" s="7"/>
      <c r="DD39" s="7"/>
      <c r="DE39" s="7"/>
      <c r="DF39" s="7"/>
      <c r="DG39" s="7"/>
      <c r="DH39" s="7"/>
    </row>
    <row r="40" spans="1:112" ht="16.5" hidden="1" thickTop="1" thickBot="1" x14ac:dyDescent="0.3">
      <c r="D40" s="43" t="s">
        <v>25</v>
      </c>
      <c r="E40" s="26"/>
      <c r="F40" s="26"/>
      <c r="G40" s="39">
        <v>2</v>
      </c>
      <c r="H40" s="39">
        <v>1</v>
      </c>
      <c r="I40" s="98">
        <f t="shared" si="1"/>
        <v>0</v>
      </c>
      <c r="J40" s="100"/>
      <c r="K40" s="26"/>
      <c r="L40" s="26"/>
      <c r="M40" s="26"/>
      <c r="N40" s="39">
        <v>2</v>
      </c>
      <c r="O40" s="39">
        <v>1</v>
      </c>
      <c r="P40" s="98">
        <f t="shared" si="2"/>
        <v>0</v>
      </c>
      <c r="Q40" s="100"/>
      <c r="R40" s="26"/>
      <c r="S40" s="26"/>
      <c r="T40" s="26"/>
      <c r="U40" s="39">
        <v>2</v>
      </c>
      <c r="V40" s="39">
        <v>1</v>
      </c>
      <c r="W40" s="98">
        <f t="shared" si="3"/>
        <v>0</v>
      </c>
      <c r="X40" s="100"/>
      <c r="Y40" s="26"/>
      <c r="Z40" s="26"/>
      <c r="AA40" s="26"/>
      <c r="AB40" s="39">
        <v>2</v>
      </c>
      <c r="AC40" s="39">
        <v>1</v>
      </c>
      <c r="AD40" s="98">
        <f t="shared" si="4"/>
        <v>9.8439774850097219E-17</v>
      </c>
      <c r="AE40" s="100"/>
      <c r="AF40" s="26"/>
      <c r="AG40" s="26"/>
      <c r="AH40" s="26"/>
      <c r="AI40" s="39">
        <v>2</v>
      </c>
      <c r="AJ40" s="39">
        <v>1</v>
      </c>
      <c r="AK40" s="98">
        <f t="shared" si="5"/>
        <v>-0.66666666666666663</v>
      </c>
      <c r="AL40" s="100"/>
      <c r="AM40" s="26"/>
      <c r="AN40" s="26"/>
      <c r="AO40" s="26"/>
      <c r="AP40" s="39">
        <v>2</v>
      </c>
      <c r="AQ40" s="39">
        <v>1</v>
      </c>
      <c r="AR40" s="98">
        <f t="shared" si="6"/>
        <v>0</v>
      </c>
      <c r="AS40" s="100"/>
      <c r="AT40" s="26"/>
      <c r="AU40" s="26"/>
      <c r="AV40" s="26"/>
      <c r="AW40" s="39">
        <v>2</v>
      </c>
      <c r="AX40" s="39">
        <v>1</v>
      </c>
      <c r="AY40" s="98">
        <f t="shared" si="7"/>
        <v>0.42962962962962997</v>
      </c>
      <c r="AZ40" s="100"/>
      <c r="BA40" s="26"/>
      <c r="BB40" s="26"/>
      <c r="BC40" s="26"/>
      <c r="BD40" s="39">
        <v>2</v>
      </c>
      <c r="BE40" s="39">
        <v>1</v>
      </c>
      <c r="BF40" s="98">
        <f t="shared" si="8"/>
        <v>-0.71111111111111047</v>
      </c>
      <c r="BG40" s="100"/>
      <c r="BH40" s="26"/>
      <c r="BI40" s="26"/>
      <c r="BJ40" s="26"/>
      <c r="BK40" s="39">
        <v>2</v>
      </c>
      <c r="BL40" s="39">
        <v>1</v>
      </c>
      <c r="BM40" s="98">
        <f t="shared" si="9"/>
        <v>0</v>
      </c>
      <c r="BN40" s="100"/>
      <c r="BO40" s="26"/>
      <c r="BP40" s="26"/>
      <c r="BQ40" s="26"/>
      <c r="BR40" s="39">
        <v>2</v>
      </c>
      <c r="BS40" s="39">
        <v>1</v>
      </c>
      <c r="BT40" s="98">
        <f t="shared" si="10"/>
        <v>-0.42962962962962997</v>
      </c>
      <c r="BU40" s="99"/>
      <c r="BV40" s="26"/>
      <c r="BW40" s="26"/>
      <c r="BX40" s="26"/>
      <c r="BY40" s="39">
        <v>2</v>
      </c>
      <c r="BZ40" s="39">
        <v>1</v>
      </c>
      <c r="CA40" s="98">
        <f t="shared" si="11"/>
        <v>0.55555555555555558</v>
      </c>
      <c r="CB40" s="99"/>
      <c r="CC40" s="26"/>
      <c r="CD40" s="26"/>
      <c r="CE40" s="26"/>
      <c r="CF40" s="39">
        <v>2</v>
      </c>
      <c r="CG40" s="39">
        <v>1</v>
      </c>
      <c r="CH40" s="98">
        <f t="shared" si="12"/>
        <v>7.8949192862233357E-17</v>
      </c>
      <c r="CI40" s="99"/>
      <c r="CS40" s="7"/>
      <c r="CT40" s="57"/>
      <c r="CU40" s="8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</row>
    <row r="41" spans="1:112" ht="16.5" hidden="1" thickTop="1" thickBot="1" x14ac:dyDescent="0.3">
      <c r="D41" s="44" t="s">
        <v>26</v>
      </c>
      <c r="E41" s="27"/>
      <c r="F41" s="27"/>
      <c r="G41" s="40">
        <v>1</v>
      </c>
      <c r="H41" s="40">
        <v>2</v>
      </c>
      <c r="I41" s="93">
        <f t="shared" si="1"/>
        <v>0</v>
      </c>
      <c r="J41" s="94"/>
      <c r="K41" s="27"/>
      <c r="L41" s="27"/>
      <c r="M41" s="27"/>
      <c r="N41" s="40">
        <v>1</v>
      </c>
      <c r="O41" s="40">
        <v>2</v>
      </c>
      <c r="P41" s="93">
        <f t="shared" si="2"/>
        <v>0</v>
      </c>
      <c r="Q41" s="94"/>
      <c r="R41" s="27"/>
      <c r="S41" s="27"/>
      <c r="T41" s="27"/>
      <c r="U41" s="40">
        <v>1</v>
      </c>
      <c r="V41" s="40">
        <v>2</v>
      </c>
      <c r="W41" s="93">
        <f t="shared" si="3"/>
        <v>0</v>
      </c>
      <c r="X41" s="94"/>
      <c r="Y41" s="27"/>
      <c r="Z41" s="27"/>
      <c r="AA41" s="27"/>
      <c r="AB41" s="40">
        <v>1</v>
      </c>
      <c r="AC41" s="40">
        <v>2</v>
      </c>
      <c r="AD41" s="93">
        <f t="shared" si="4"/>
        <v>-1.1519999999999995</v>
      </c>
      <c r="AE41" s="94"/>
      <c r="AF41" s="27"/>
      <c r="AG41" s="27"/>
      <c r="AH41" s="27"/>
      <c r="AI41" s="40">
        <v>1</v>
      </c>
      <c r="AJ41" s="40">
        <v>2</v>
      </c>
      <c r="AK41" s="93">
        <f t="shared" si="5"/>
        <v>0.73333333333333328</v>
      </c>
      <c r="AL41" s="94"/>
      <c r="AM41" s="27"/>
      <c r="AN41" s="27"/>
      <c r="AO41" s="27"/>
      <c r="AP41" s="40">
        <v>1</v>
      </c>
      <c r="AQ41" s="40">
        <v>2</v>
      </c>
      <c r="AR41" s="93">
        <f t="shared" si="6"/>
        <v>0</v>
      </c>
      <c r="AS41" s="94"/>
      <c r="AT41" s="27"/>
      <c r="AU41" s="27"/>
      <c r="AV41" s="27"/>
      <c r="AW41" s="40">
        <v>1</v>
      </c>
      <c r="AX41" s="40">
        <v>2</v>
      </c>
      <c r="AY41" s="93">
        <f t="shared" si="7"/>
        <v>0.19259259259259326</v>
      </c>
      <c r="AZ41" s="94"/>
      <c r="BA41" s="27"/>
      <c r="BB41" s="27"/>
      <c r="BC41" s="27"/>
      <c r="BD41" s="40">
        <v>1</v>
      </c>
      <c r="BE41" s="40">
        <v>2</v>
      </c>
      <c r="BF41" s="93">
        <f t="shared" si="8"/>
        <v>-0.11851851851851747</v>
      </c>
      <c r="BG41" s="94"/>
      <c r="BH41" s="27"/>
      <c r="BI41" s="27"/>
      <c r="BJ41" s="27"/>
      <c r="BK41" s="40">
        <v>1</v>
      </c>
      <c r="BL41" s="40">
        <v>2</v>
      </c>
      <c r="BM41" s="93">
        <f t="shared" si="9"/>
        <v>0</v>
      </c>
      <c r="BN41" s="94"/>
      <c r="BO41" s="27"/>
      <c r="BP41" s="27"/>
      <c r="BQ41" s="27"/>
      <c r="BR41" s="40">
        <v>1</v>
      </c>
      <c r="BS41" s="40">
        <v>2</v>
      </c>
      <c r="BT41" s="93">
        <f t="shared" si="10"/>
        <v>-0.19259259259259182</v>
      </c>
      <c r="BU41" s="97"/>
      <c r="BV41" s="27"/>
      <c r="BW41" s="27"/>
      <c r="BX41" s="27"/>
      <c r="BY41" s="40">
        <v>1</v>
      </c>
      <c r="BZ41" s="40">
        <v>2</v>
      </c>
      <c r="CA41" s="93">
        <f t="shared" si="11"/>
        <v>-598.04444444444448</v>
      </c>
      <c r="CB41" s="97"/>
      <c r="CC41" s="27"/>
      <c r="CD41" s="27"/>
      <c r="CE41" s="27"/>
      <c r="CF41" s="40">
        <v>1</v>
      </c>
      <c r="CG41" s="40">
        <v>2</v>
      </c>
      <c r="CH41" s="93">
        <f t="shared" si="12"/>
        <v>0.95999999999999963</v>
      </c>
      <c r="CI41" s="97"/>
      <c r="CS41" s="7"/>
      <c r="CT41" s="65"/>
      <c r="CU41" s="66"/>
      <c r="CV41" s="64"/>
      <c r="CW41" s="64"/>
      <c r="CX41" s="64"/>
      <c r="CY41" s="7" t="s">
        <v>34</v>
      </c>
      <c r="CZ41" s="7"/>
      <c r="DA41" s="7"/>
      <c r="DB41" s="7"/>
      <c r="DC41" s="7"/>
      <c r="DD41" s="7"/>
      <c r="DE41" s="7"/>
      <c r="DF41" s="7"/>
      <c r="DG41" s="7"/>
      <c r="DH41" s="7"/>
    </row>
    <row r="42" spans="1:112" hidden="1" x14ac:dyDescent="0.25">
      <c r="CS42" s="7"/>
      <c r="CT42" s="8"/>
      <c r="CU42" s="8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</row>
    <row r="43" spans="1:112" x14ac:dyDescent="0.25">
      <c r="CS43" s="7"/>
      <c r="CT43" s="8"/>
      <c r="CU43" s="8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</row>
    <row r="44" spans="1:112" ht="15.75" thickBot="1" x14ac:dyDescent="0.3">
      <c r="A44" s="153"/>
      <c r="B44" s="153"/>
      <c r="C44" s="153"/>
      <c r="D44" s="153"/>
    </row>
    <row r="45" spans="1:112" x14ac:dyDescent="0.25">
      <c r="A45" s="153"/>
      <c r="B45" s="153"/>
      <c r="C45" s="153"/>
      <c r="D45" s="153"/>
      <c r="E45" s="84"/>
      <c r="F45" s="151" t="s">
        <v>79</v>
      </c>
      <c r="G45" s="152"/>
      <c r="H45" s="152"/>
      <c r="I45" s="128" t="s">
        <v>90</v>
      </c>
      <c r="J45" s="128"/>
      <c r="K45" s="129"/>
      <c r="M45" s="154" t="s">
        <v>80</v>
      </c>
      <c r="N45" s="155"/>
      <c r="O45" s="155"/>
      <c r="P45" s="136" t="s">
        <v>90</v>
      </c>
      <c r="Q45" s="137"/>
      <c r="R45" s="138"/>
      <c r="T45" s="154" t="s">
        <v>81</v>
      </c>
      <c r="U45" s="155"/>
      <c r="V45" s="156"/>
      <c r="W45" s="136" t="s">
        <v>90</v>
      </c>
      <c r="X45" s="137"/>
      <c r="Y45" s="138"/>
      <c r="AA45" s="154" t="s">
        <v>82</v>
      </c>
      <c r="AB45" s="155"/>
      <c r="AC45" s="156"/>
      <c r="AD45" s="139" t="s">
        <v>90</v>
      </c>
      <c r="AE45" s="140"/>
      <c r="AF45" s="141"/>
      <c r="AH45" s="151" t="s">
        <v>83</v>
      </c>
      <c r="AI45" s="152"/>
      <c r="AJ45" s="152"/>
      <c r="AK45" s="128" t="s">
        <v>90</v>
      </c>
      <c r="AL45" s="128"/>
      <c r="AM45" s="129"/>
      <c r="AO45" s="151" t="s">
        <v>84</v>
      </c>
      <c r="AP45" s="152"/>
      <c r="AQ45" s="152"/>
      <c r="AR45" s="128" t="s">
        <v>90</v>
      </c>
      <c r="AS45" s="128"/>
      <c r="AT45" s="129"/>
      <c r="AV45" s="151" t="s">
        <v>85</v>
      </c>
      <c r="AW45" s="152"/>
      <c r="AX45" s="152"/>
      <c r="AY45" s="128" t="s">
        <v>90</v>
      </c>
      <c r="AZ45" s="128"/>
      <c r="BA45" s="129"/>
      <c r="BC45" s="151" t="s">
        <v>86</v>
      </c>
      <c r="BD45" s="152"/>
      <c r="BE45" s="152"/>
      <c r="BF45" s="128" t="s">
        <v>90</v>
      </c>
      <c r="BG45" s="128"/>
      <c r="BH45" s="129"/>
      <c r="BJ45" s="151" t="s">
        <v>87</v>
      </c>
      <c r="BK45" s="152"/>
      <c r="BL45" s="152"/>
      <c r="BM45" s="128" t="s">
        <v>90</v>
      </c>
      <c r="BN45" s="128"/>
      <c r="BO45" s="129"/>
      <c r="BQ45" s="151" t="s">
        <v>88</v>
      </c>
      <c r="BR45" s="152"/>
      <c r="BS45" s="152"/>
      <c r="BT45" s="128" t="s">
        <v>90</v>
      </c>
      <c r="BU45" s="128"/>
      <c r="BV45" s="129"/>
      <c r="BX45" s="151" t="s">
        <v>89</v>
      </c>
      <c r="BY45" s="152"/>
      <c r="BZ45" s="152"/>
      <c r="CA45" s="128" t="s">
        <v>90</v>
      </c>
      <c r="CB45" s="128"/>
      <c r="CC45" s="129"/>
      <c r="CE45" s="151" t="s">
        <v>91</v>
      </c>
      <c r="CF45" s="152"/>
      <c r="CG45" s="152"/>
      <c r="CH45" s="128" t="s">
        <v>90</v>
      </c>
      <c r="CI45" s="128"/>
      <c r="CJ45" s="129"/>
    </row>
    <row r="46" spans="1:112" x14ac:dyDescent="0.25">
      <c r="A46" s="153"/>
      <c r="B46" s="153"/>
      <c r="C46" s="153"/>
      <c r="D46" s="153"/>
      <c r="F46" s="120" t="s">
        <v>79</v>
      </c>
      <c r="G46" s="121"/>
      <c r="H46" s="121"/>
      <c r="I46" s="124" t="str">
        <f>CP65</f>
        <v>X</v>
      </c>
      <c r="J46" s="124"/>
      <c r="K46" s="125"/>
      <c r="M46" s="120" t="s">
        <v>79</v>
      </c>
      <c r="N46" s="121"/>
      <c r="O46" s="121"/>
      <c r="P46" s="130">
        <f ca="1">CQ65</f>
        <v>2.3778816176702997</v>
      </c>
      <c r="Q46" s="131"/>
      <c r="R46" s="132"/>
      <c r="T46" s="120" t="s">
        <v>79</v>
      </c>
      <c r="U46" s="121"/>
      <c r="V46" s="121"/>
      <c r="W46" s="130">
        <f ca="1">CR65</f>
        <v>0.91947381624787561</v>
      </c>
      <c r="X46" s="131"/>
      <c r="Y46" s="132"/>
      <c r="AA46" s="120" t="s">
        <v>79</v>
      </c>
      <c r="AB46" s="121"/>
      <c r="AC46" s="121"/>
      <c r="AD46" s="130">
        <f ca="1">CS65</f>
        <v>1.4044446244725617</v>
      </c>
      <c r="AE46" s="131"/>
      <c r="AF46" s="132"/>
      <c r="AH46" s="120" t="s">
        <v>79</v>
      </c>
      <c r="AI46" s="121"/>
      <c r="AJ46" s="121"/>
      <c r="AK46" s="124">
        <f ca="1">CT65</f>
        <v>3.1238763411924184</v>
      </c>
      <c r="AL46" s="124"/>
      <c r="AM46" s="125"/>
      <c r="AO46" s="120" t="s">
        <v>79</v>
      </c>
      <c r="AP46" s="121"/>
      <c r="AQ46" s="121"/>
      <c r="AR46" s="124">
        <f ca="1">CU65</f>
        <v>0.91947381624787561</v>
      </c>
      <c r="AS46" s="124"/>
      <c r="AT46" s="125"/>
      <c r="AV46" s="120" t="s">
        <v>79</v>
      </c>
      <c r="AW46" s="121"/>
      <c r="AX46" s="121"/>
      <c r="AY46" s="124">
        <f ca="1">CV65</f>
        <v>2.4131015280983972</v>
      </c>
      <c r="AZ46" s="124"/>
      <c r="BA46" s="125"/>
      <c r="BC46" s="120" t="s">
        <v>79</v>
      </c>
      <c r="BD46" s="121"/>
      <c r="BE46" s="121"/>
      <c r="BF46" s="124">
        <f ca="1">CW65</f>
        <v>3.5688639822017314</v>
      </c>
      <c r="BG46" s="124"/>
      <c r="BH46" s="125"/>
      <c r="BJ46" s="120" t="s">
        <v>79</v>
      </c>
      <c r="BK46" s="121"/>
      <c r="BL46" s="121"/>
      <c r="BM46" s="124">
        <f ca="1">CX65</f>
        <v>0.62371056204407938</v>
      </c>
      <c r="BN46" s="124"/>
      <c r="BO46" s="125"/>
      <c r="BQ46" s="120" t="s">
        <v>79</v>
      </c>
      <c r="BR46" s="121"/>
      <c r="BS46" s="121"/>
      <c r="BT46" s="124">
        <f ca="1">CY65</f>
        <v>2.4131015280983994</v>
      </c>
      <c r="BU46" s="124"/>
      <c r="BV46" s="125"/>
      <c r="BX46" s="120" t="s">
        <v>79</v>
      </c>
      <c r="BY46" s="121"/>
      <c r="BZ46" s="121"/>
      <c r="CA46" s="124">
        <f ca="1">CZ65</f>
        <v>598.1753133436946</v>
      </c>
      <c r="CB46" s="124"/>
      <c r="CC46" s="125"/>
      <c r="CE46" s="120" t="s">
        <v>79</v>
      </c>
      <c r="CF46" s="121"/>
      <c r="CG46" s="121"/>
      <c r="CH46" s="124">
        <f ca="1">DA65</f>
        <v>1.5277094287741473</v>
      </c>
      <c r="CI46" s="124"/>
      <c r="CJ46" s="125"/>
      <c r="DC46" s="119" t="s">
        <v>92</v>
      </c>
      <c r="DD46" s="119"/>
      <c r="DE46" s="119"/>
      <c r="DF46">
        <f>Sheet3!AM4</f>
        <v>2</v>
      </c>
    </row>
    <row r="47" spans="1:112" x14ac:dyDescent="0.25">
      <c r="A47" s="153"/>
      <c r="B47" s="153"/>
      <c r="C47" s="153"/>
      <c r="D47" s="153"/>
      <c r="F47" s="120" t="s">
        <v>80</v>
      </c>
      <c r="G47" s="121"/>
      <c r="H47" s="121"/>
      <c r="I47" s="124">
        <f t="shared" ref="I47:I57" ca="1" si="13">CP66</f>
        <v>2.3778816176702997</v>
      </c>
      <c r="J47" s="124"/>
      <c r="K47" s="125"/>
      <c r="M47" s="120" t="s">
        <v>80</v>
      </c>
      <c r="N47" s="121"/>
      <c r="O47" s="121"/>
      <c r="P47" s="133" t="str">
        <f t="shared" ref="P47:P57" si="14">CQ66</f>
        <v>X</v>
      </c>
      <c r="Q47" s="134"/>
      <c r="R47" s="135"/>
      <c r="T47" s="120" t="s">
        <v>80</v>
      </c>
      <c r="U47" s="121"/>
      <c r="V47" s="121"/>
      <c r="W47" s="130">
        <f t="shared" ref="W47:W57" ca="1" si="15">CR66</f>
        <v>2.2090722034374521</v>
      </c>
      <c r="X47" s="131"/>
      <c r="Y47" s="132"/>
      <c r="AA47" s="120" t="s">
        <v>80</v>
      </c>
      <c r="AB47" s="121"/>
      <c r="AC47" s="121"/>
      <c r="AD47" s="130">
        <f t="shared" ref="AD47:AD57" ca="1" si="16">CS66</f>
        <v>2.2544596159612174</v>
      </c>
      <c r="AE47" s="131"/>
      <c r="AF47" s="132"/>
      <c r="AH47" s="120" t="s">
        <v>80</v>
      </c>
      <c r="AI47" s="121"/>
      <c r="AJ47" s="121"/>
      <c r="AK47" s="124">
        <f t="shared" ref="AK47:AK57" ca="1" si="17">CT66</f>
        <v>2.3751461943308763</v>
      </c>
      <c r="AL47" s="124"/>
      <c r="AM47" s="125"/>
      <c r="AO47" s="120" t="s">
        <v>80</v>
      </c>
      <c r="AP47" s="121"/>
      <c r="AQ47" s="121"/>
      <c r="AR47" s="124">
        <f t="shared" ref="AR47:AR57" ca="1" si="18">CU66</f>
        <v>2.2090722034374521</v>
      </c>
      <c r="AS47" s="124"/>
      <c r="AT47" s="125"/>
      <c r="AV47" s="120" t="s">
        <v>80</v>
      </c>
      <c r="AW47" s="121"/>
      <c r="AX47" s="121"/>
      <c r="AY47" s="124">
        <f t="shared" ref="AY47:AY57" ca="1" si="19">CV66</f>
        <v>2.9724408596174232</v>
      </c>
      <c r="AZ47" s="124"/>
      <c r="BA47" s="125"/>
      <c r="BC47" s="120" t="s">
        <v>80</v>
      </c>
      <c r="BD47" s="121"/>
      <c r="BE47" s="121"/>
      <c r="BF47" s="124">
        <f t="shared" ref="BF47:BF57" ca="1" si="20">CW66</f>
        <v>3.5306069145665586</v>
      </c>
      <c r="BG47" s="124"/>
      <c r="BH47" s="125"/>
      <c r="BJ47" s="120" t="s">
        <v>80</v>
      </c>
      <c r="BK47" s="121"/>
      <c r="BL47" s="121"/>
      <c r="BM47" s="124">
        <f t="shared" ref="BM47:BM57" ca="1" si="21">CX66</f>
        <v>1.8182745801939793</v>
      </c>
      <c r="BN47" s="124"/>
      <c r="BO47" s="125"/>
      <c r="BQ47" s="120" t="s">
        <v>80</v>
      </c>
      <c r="BR47" s="121"/>
      <c r="BS47" s="121"/>
      <c r="BT47" s="124">
        <f t="shared" ref="BT47:BT57" ca="1" si="22">CY66</f>
        <v>2.9724408596174245</v>
      </c>
      <c r="BU47" s="124"/>
      <c r="BV47" s="125"/>
      <c r="BX47" s="120" t="s">
        <v>80</v>
      </c>
      <c r="BY47" s="121"/>
      <c r="BZ47" s="121"/>
      <c r="CA47" s="124">
        <f t="shared" ref="CA47:CA57" ca="1" si="23">CZ66</f>
        <v>598.16391024410575</v>
      </c>
      <c r="CB47" s="124"/>
      <c r="CC47" s="125"/>
      <c r="CE47" s="120" t="s">
        <v>80</v>
      </c>
      <c r="CF47" s="121"/>
      <c r="CG47" s="121"/>
      <c r="CH47" s="124">
        <f t="shared" ref="CH47:CH57" ca="1" si="24">DA66</f>
        <v>1.5856049357723627</v>
      </c>
      <c r="CI47" s="124"/>
      <c r="CJ47" s="125"/>
    </row>
    <row r="48" spans="1:112" x14ac:dyDescent="0.25">
      <c r="A48" s="153"/>
      <c r="B48" s="153"/>
      <c r="C48" s="153"/>
      <c r="D48" s="153"/>
      <c r="F48" s="120" t="s">
        <v>81</v>
      </c>
      <c r="G48" s="121"/>
      <c r="H48" s="121"/>
      <c r="I48" s="124">
        <f t="shared" ca="1" si="13"/>
        <v>0.91947381624787561</v>
      </c>
      <c r="J48" s="124"/>
      <c r="K48" s="125"/>
      <c r="M48" s="120" t="s">
        <v>81</v>
      </c>
      <c r="N48" s="121"/>
      <c r="O48" s="121"/>
      <c r="P48" s="133">
        <f t="shared" ca="1" si="14"/>
        <v>2.2090722034374521</v>
      </c>
      <c r="Q48" s="134"/>
      <c r="R48" s="135"/>
      <c r="S48" s="84"/>
      <c r="T48" s="120" t="s">
        <v>81</v>
      </c>
      <c r="U48" s="121"/>
      <c r="V48" s="121"/>
      <c r="W48" s="130" t="str">
        <f t="shared" si="15"/>
        <v>X</v>
      </c>
      <c r="X48" s="131"/>
      <c r="Y48" s="132"/>
      <c r="AA48" s="120" t="s">
        <v>81</v>
      </c>
      <c r="AB48" s="121"/>
      <c r="AC48" s="121"/>
      <c r="AD48" s="130">
        <f t="shared" ca="1" si="16"/>
        <v>1.4569104845528427</v>
      </c>
      <c r="AE48" s="131"/>
      <c r="AF48" s="132"/>
      <c r="AH48" s="120" t="s">
        <v>81</v>
      </c>
      <c r="AI48" s="121"/>
      <c r="AJ48" s="121"/>
      <c r="AK48" s="124">
        <f t="shared" ca="1" si="17"/>
        <v>3.3398581972559529</v>
      </c>
      <c r="AL48" s="124"/>
      <c r="AM48" s="125"/>
      <c r="AO48" s="120" t="s">
        <v>81</v>
      </c>
      <c r="AP48" s="121"/>
      <c r="AQ48" s="121"/>
      <c r="AR48" s="124">
        <f t="shared" ca="1" si="18"/>
        <v>1.6</v>
      </c>
      <c r="AS48" s="124"/>
      <c r="AT48" s="125"/>
      <c r="AV48" s="120" t="s">
        <v>81</v>
      </c>
      <c r="AW48" s="121"/>
      <c r="AX48" s="121"/>
      <c r="AY48" s="124">
        <f t="shared" ca="1" si="19"/>
        <v>2.6297157002085161</v>
      </c>
      <c r="AZ48" s="124"/>
      <c r="BA48" s="125"/>
      <c r="BC48" s="120" t="s">
        <v>81</v>
      </c>
      <c r="BD48" s="121"/>
      <c r="BE48" s="121"/>
      <c r="BF48" s="124">
        <f t="shared" ca="1" si="20"/>
        <v>3.7491727482601154</v>
      </c>
      <c r="BG48" s="124"/>
      <c r="BH48" s="125"/>
      <c r="BJ48" s="120" t="s">
        <v>81</v>
      </c>
      <c r="BK48" s="121"/>
      <c r="BL48" s="121"/>
      <c r="BM48" s="124">
        <f t="shared" ca="1" si="21"/>
        <v>0.99303698268472984</v>
      </c>
      <c r="BN48" s="124"/>
      <c r="BO48" s="125"/>
      <c r="BQ48" s="120" t="s">
        <v>81</v>
      </c>
      <c r="BR48" s="121"/>
      <c r="BS48" s="121"/>
      <c r="BT48" s="124">
        <f t="shared" ca="1" si="22"/>
        <v>2.6297157002085179</v>
      </c>
      <c r="BU48" s="124"/>
      <c r="BV48" s="125"/>
      <c r="BX48" s="120" t="s">
        <v>81</v>
      </c>
      <c r="BY48" s="121"/>
      <c r="BZ48" s="121"/>
      <c r="CA48" s="124">
        <f t="shared" ca="1" si="23"/>
        <v>598.17480645215585</v>
      </c>
      <c r="CB48" s="124"/>
      <c r="CC48" s="125"/>
      <c r="CE48" s="120" t="s">
        <v>81</v>
      </c>
      <c r="CF48" s="121"/>
      <c r="CG48" s="121"/>
      <c r="CH48" s="124">
        <f t="shared" ca="1" si="24"/>
        <v>1.5035989089555581</v>
      </c>
      <c r="CI48" s="124"/>
      <c r="CJ48" s="125"/>
      <c r="CM48" t="s">
        <v>52</v>
      </c>
    </row>
    <row r="49" spans="1:112" x14ac:dyDescent="0.25">
      <c r="A49" s="153"/>
      <c r="B49" s="153"/>
      <c r="C49" s="153"/>
      <c r="D49" s="153"/>
      <c r="F49" s="120" t="s">
        <v>82</v>
      </c>
      <c r="G49" s="121"/>
      <c r="H49" s="121"/>
      <c r="I49" s="124">
        <f t="shared" ca="1" si="13"/>
        <v>1.4044446244725617</v>
      </c>
      <c r="J49" s="124"/>
      <c r="K49" s="125"/>
      <c r="M49" s="120" t="s">
        <v>82</v>
      </c>
      <c r="N49" s="121"/>
      <c r="O49" s="121"/>
      <c r="P49" s="130">
        <f t="shared" ca="1" si="14"/>
        <v>2.2544596159612174</v>
      </c>
      <c r="Q49" s="131"/>
      <c r="R49" s="132"/>
      <c r="T49" s="120" t="s">
        <v>82</v>
      </c>
      <c r="U49" s="121"/>
      <c r="V49" s="121"/>
      <c r="W49" s="130">
        <f t="shared" ca="1" si="15"/>
        <v>1.4569104845528427</v>
      </c>
      <c r="X49" s="131"/>
      <c r="Y49" s="132"/>
      <c r="Z49" s="7"/>
      <c r="AA49" s="120" t="s">
        <v>82</v>
      </c>
      <c r="AB49" s="121"/>
      <c r="AC49" s="121"/>
      <c r="AD49" s="130" t="str">
        <f t="shared" si="16"/>
        <v>X</v>
      </c>
      <c r="AE49" s="131"/>
      <c r="AF49" s="132"/>
      <c r="AG49" s="2"/>
      <c r="AH49" s="120" t="s">
        <v>82</v>
      </c>
      <c r="AI49" s="121"/>
      <c r="AJ49" s="121"/>
      <c r="AK49" s="124">
        <f t="shared" ca="1" si="17"/>
        <v>3.5382727807662189</v>
      </c>
      <c r="AL49" s="124"/>
      <c r="AM49" s="125"/>
      <c r="AO49" s="120" t="s">
        <v>82</v>
      </c>
      <c r="AP49" s="121"/>
      <c r="AQ49" s="121"/>
      <c r="AR49" s="124">
        <f t="shared" ca="1" si="18"/>
        <v>1.4569104845528427</v>
      </c>
      <c r="AS49" s="124"/>
      <c r="AT49" s="125"/>
      <c r="AV49" s="120" t="s">
        <v>82</v>
      </c>
      <c r="AW49" s="121"/>
      <c r="AX49" s="121"/>
      <c r="AY49" s="124">
        <f t="shared" ca="1" si="19"/>
        <v>2.7966554512152642</v>
      </c>
      <c r="AZ49" s="124"/>
      <c r="BA49" s="125"/>
      <c r="BC49" s="120" t="s">
        <v>82</v>
      </c>
      <c r="BD49" s="121"/>
      <c r="BE49" s="121"/>
      <c r="BF49" s="124">
        <f t="shared" ca="1" si="20"/>
        <v>3.556133357496075</v>
      </c>
      <c r="BG49" s="124"/>
      <c r="BH49" s="125"/>
      <c r="BJ49" s="120" t="s">
        <v>82</v>
      </c>
      <c r="BK49" s="121"/>
      <c r="BL49" s="121"/>
      <c r="BM49" s="124">
        <f t="shared" ca="1" si="21"/>
        <v>1.4182974835473459</v>
      </c>
      <c r="BN49" s="124"/>
      <c r="BO49" s="125"/>
      <c r="BQ49" s="120" t="s">
        <v>82</v>
      </c>
      <c r="BR49" s="121"/>
      <c r="BS49" s="121"/>
      <c r="BT49" s="124">
        <f t="shared" ca="1" si="22"/>
        <v>2.5675828541279961</v>
      </c>
      <c r="BU49" s="124"/>
      <c r="BV49" s="125"/>
      <c r="BX49" s="120" t="s">
        <v>82</v>
      </c>
      <c r="BY49" s="121"/>
      <c r="BZ49" s="121"/>
      <c r="CA49" s="124">
        <f t="shared" ca="1" si="23"/>
        <v>597.02302443597478</v>
      </c>
      <c r="CB49" s="124"/>
      <c r="CC49" s="125"/>
      <c r="CE49" s="120" t="s">
        <v>82</v>
      </c>
      <c r="CF49" s="121"/>
      <c r="CG49" s="121"/>
      <c r="CH49" s="124">
        <f t="shared" ca="1" si="24"/>
        <v>2.2641506367022068</v>
      </c>
      <c r="CI49" s="124"/>
      <c r="CJ49" s="125"/>
      <c r="CO49" t="s">
        <v>53</v>
      </c>
      <c r="CP49" t="s">
        <v>65</v>
      </c>
      <c r="CQ49" t="s">
        <v>66</v>
      </c>
      <c r="CR49" t="s">
        <v>67</v>
      </c>
      <c r="CS49" t="s">
        <v>68</v>
      </c>
      <c r="CT49" t="s">
        <v>69</v>
      </c>
      <c r="CU49" t="s">
        <v>70</v>
      </c>
      <c r="CV49" t="s">
        <v>71</v>
      </c>
      <c r="CW49" t="s">
        <v>72</v>
      </c>
      <c r="CX49" t="s">
        <v>73</v>
      </c>
      <c r="CY49" t="s">
        <v>74</v>
      </c>
      <c r="CZ49" t="s">
        <v>75</v>
      </c>
      <c r="DA49" t="s">
        <v>76</v>
      </c>
      <c r="DD49" s="119" t="s">
        <v>64</v>
      </c>
      <c r="DE49" s="119"/>
      <c r="DF49" s="119"/>
    </row>
    <row r="50" spans="1:112" x14ac:dyDescent="0.25">
      <c r="A50" s="153"/>
      <c r="B50" s="153"/>
      <c r="C50" s="153"/>
      <c r="D50" s="153"/>
      <c r="F50" s="120" t="s">
        <v>83</v>
      </c>
      <c r="G50" s="121"/>
      <c r="H50" s="121"/>
      <c r="I50" s="124">
        <f t="shared" ca="1" si="13"/>
        <v>3.1238763411924184</v>
      </c>
      <c r="J50" s="124"/>
      <c r="K50" s="125"/>
      <c r="M50" s="120" t="s">
        <v>83</v>
      </c>
      <c r="N50" s="121"/>
      <c r="O50" s="121"/>
      <c r="P50" s="130">
        <f t="shared" ca="1" si="14"/>
        <v>2.3751461943308763</v>
      </c>
      <c r="Q50" s="131"/>
      <c r="R50" s="132"/>
      <c r="T50" s="120" t="s">
        <v>83</v>
      </c>
      <c r="U50" s="121"/>
      <c r="V50" s="121"/>
      <c r="W50" s="130">
        <f t="shared" ca="1" si="15"/>
        <v>3.3398581972559529</v>
      </c>
      <c r="X50" s="131"/>
      <c r="Y50" s="132"/>
      <c r="Z50" s="7"/>
      <c r="AA50" s="120" t="s">
        <v>83</v>
      </c>
      <c r="AB50" s="121"/>
      <c r="AC50" s="121"/>
      <c r="AD50" s="130">
        <f t="shared" ca="1" si="16"/>
        <v>3.5382727807662189</v>
      </c>
      <c r="AE50" s="131"/>
      <c r="AF50" s="132"/>
      <c r="AG50" s="2"/>
      <c r="AH50" s="120" t="s">
        <v>83</v>
      </c>
      <c r="AI50" s="121"/>
      <c r="AJ50" s="121"/>
      <c r="AK50" s="124" t="str">
        <f t="shared" si="17"/>
        <v>X</v>
      </c>
      <c r="AL50" s="124"/>
      <c r="AM50" s="125"/>
      <c r="AO50" s="120" t="s">
        <v>83</v>
      </c>
      <c r="AP50" s="121"/>
      <c r="AQ50" s="121"/>
      <c r="AR50" s="124">
        <f t="shared" ca="1" si="18"/>
        <v>3.0256656751494835</v>
      </c>
      <c r="AS50" s="124"/>
      <c r="AT50" s="125"/>
      <c r="AV50" s="120" t="s">
        <v>83</v>
      </c>
      <c r="AW50" s="121"/>
      <c r="AX50" s="121"/>
      <c r="AY50" s="124">
        <f t="shared" ca="1" si="19"/>
        <v>4.1721144427235473</v>
      </c>
      <c r="AZ50" s="124"/>
      <c r="BA50" s="125"/>
      <c r="BC50" s="120" t="s">
        <v>83</v>
      </c>
      <c r="BD50" s="121"/>
      <c r="BE50" s="121"/>
      <c r="BF50" s="124">
        <f t="shared" ca="1" si="20"/>
        <v>3.1467146790907092</v>
      </c>
      <c r="BG50" s="124"/>
      <c r="BH50" s="125"/>
      <c r="BJ50" s="120" t="s">
        <v>83</v>
      </c>
      <c r="BK50" s="121"/>
      <c r="BL50" s="121"/>
      <c r="BM50" s="124">
        <f t="shared" ca="1" si="21"/>
        <v>2.6493150935388203</v>
      </c>
      <c r="BN50" s="124"/>
      <c r="BO50" s="125"/>
      <c r="BQ50" s="120" t="s">
        <v>83</v>
      </c>
      <c r="BR50" s="121"/>
      <c r="BS50" s="121"/>
      <c r="BT50" s="124">
        <f t="shared" ca="1" si="22"/>
        <v>2.8610833931295492</v>
      </c>
      <c r="BU50" s="124"/>
      <c r="BV50" s="125"/>
      <c r="BX50" s="120" t="s">
        <v>83</v>
      </c>
      <c r="BY50" s="121"/>
      <c r="BZ50" s="121"/>
      <c r="CA50" s="124">
        <f t="shared" ca="1" si="23"/>
        <v>598.88784876095008</v>
      </c>
      <c r="CB50" s="124"/>
      <c r="CC50" s="125"/>
      <c r="CE50" s="120" t="s">
        <v>83</v>
      </c>
      <c r="CF50" s="121"/>
      <c r="CG50" s="121"/>
      <c r="CH50" s="124">
        <f t="shared" ca="1" si="24"/>
        <v>2.655703061919088</v>
      </c>
      <c r="CI50" s="124"/>
      <c r="CJ50" s="125"/>
      <c r="CN50" s="119" t="s">
        <v>54</v>
      </c>
      <c r="CO50" s="119"/>
      <c r="CP50">
        <f t="array" aca="1" ref="CP50" ca="1">SQRT(SUM( (INDIRECT($CN50) - INDIRECT(CP$49))^2))</f>
        <v>3.3816287925931587</v>
      </c>
      <c r="CQ50" s="81">
        <f t="array" aca="1" ref="CQ50" ca="1">SQRT(SUM( (INDIRECT($CN50) - INDIRECT(CQ$49))^2))</f>
        <v>2.3046008105165052</v>
      </c>
      <c r="CR50" s="81">
        <f t="array" aca="1" ref="CR50" ca="1">SQRT(SUM( (INDIRECT($CN50) - INDIRECT(CR$49))^2))</f>
        <v>3.526615690597243</v>
      </c>
      <c r="CS50" s="81">
        <f t="array" aca="1" ref="CS50" ca="1">SQRT(SUM( (INDIRECT($CN50) - INDIRECT(CS$49))^2))</f>
        <v>3.6225046200798698</v>
      </c>
      <c r="CT50" s="81">
        <f t="array" aca="1" ref="CT50" ca="1">SQRT(SUM( (INDIRECT($CN50) - INDIRECT(CT$49))^2))</f>
        <v>1.0410852544073634</v>
      </c>
      <c r="CU50" s="81">
        <f t="array" aca="1" ref="CU50" ca="1">SQRT(SUM( (INDIRECT($CN50) - INDIRECT(CU$49))^2))</f>
        <v>3.3222008110839218</v>
      </c>
      <c r="CV50" s="81">
        <f t="array" aca="1" ref="CV50" ca="1">SQRT(SUM( (INDIRECT($CN50) - INDIRECT(CV$49))^2))</f>
        <v>3.9308902556204499</v>
      </c>
      <c r="CW50" s="81">
        <f t="array" aca="1" ref="CW50" ca="1">SQRT(SUM( (INDIRECT($CN50) - INDIRECT(CW$49))^2))</f>
        <v>3.9573786007482914</v>
      </c>
      <c r="CX50" s="81">
        <f t="array" aca="1" ref="CX50" ca="1">SQRT(SUM( (INDIRECT($CN50) - INDIRECT(CX$49))^2))</f>
        <v>2.8380992485839753</v>
      </c>
      <c r="CY50" s="81">
        <f t="array" aca="1" ref="CY50" ca="1">SQRT(SUM( (INDIRECT($CN50) - INDIRECT(CY$49))^2))</f>
        <v>3.5834733036233435</v>
      </c>
      <c r="CZ50" s="81">
        <f t="array" aca="1" ref="CZ50" ca="1">SQRT(SUM( (INDIRECT($CN50) - INDIRECT(CZ$49))^2))</f>
        <v>598.47547836046272</v>
      </c>
      <c r="DA50" s="81">
        <f t="array" aca="1" ref="DA50" ca="1">SQRT(SUM( (INDIRECT($CN50) - INDIRECT(DA$49))^2))</f>
        <v>2.9528257246290139</v>
      </c>
      <c r="DD50" s="82" t="str">
        <f ca="1">IFERROR(INDEX($CP$49:$DA$49,MATCH(IF(MIN(CP50:DA50)&lt;=$DF$46,MIN(CP50:DA50),ERROR),CP50:DA50,0)),"ERROR")</f>
        <v>Refe5</v>
      </c>
      <c r="DE50" s="7"/>
      <c r="DF50" s="7">
        <f ca="1">IFERROR(IF(DD50="Refe1", Sheet2!$D$3, IF(DD50="Refe2", Sheet2!$K$3, IF(DD50="Refe3",Sheet2!$R$3,IF(DD50="Refe4",Sheet2!$Y$3,IF(DD50="Refe5", Sheet2!$AH$3, IF(DD50="Refe6",Sheet2!$AM$3, IF(DD50="Refe7",Sheet2!$AT$3,IF(DD50="Refe8", Sheet2!$BA$3, IF(DD50="Refe9", Sheet2!$BH$3, IF(DD50="Refe10", Sheet2!$BO$3, IF(DD50="Refe11",Sheet2!$BV$3, IF(DD50="Refe12",Sheet2!$CC$3,Probleme)))))))))))),"ERROR")</f>
        <v>4</v>
      </c>
      <c r="DG50" s="7"/>
      <c r="DH50" s="7"/>
    </row>
    <row r="51" spans="1:112" x14ac:dyDescent="0.25">
      <c r="A51" s="153"/>
      <c r="B51" s="153"/>
      <c r="C51" s="153"/>
      <c r="D51" s="153"/>
      <c r="F51" s="120" t="s">
        <v>84</v>
      </c>
      <c r="G51" s="121"/>
      <c r="H51" s="121"/>
      <c r="I51" s="124">
        <f t="shared" ca="1" si="13"/>
        <v>0.91947381624787561</v>
      </c>
      <c r="J51" s="124"/>
      <c r="K51" s="125"/>
      <c r="M51" s="120" t="s">
        <v>84</v>
      </c>
      <c r="N51" s="121"/>
      <c r="O51" s="121"/>
      <c r="P51" s="133">
        <f t="shared" ca="1" si="14"/>
        <v>2.2090722034374521</v>
      </c>
      <c r="Q51" s="134"/>
      <c r="R51" s="135"/>
      <c r="T51" s="120" t="s">
        <v>84</v>
      </c>
      <c r="U51" s="121"/>
      <c r="V51" s="121"/>
      <c r="W51" s="130">
        <f t="shared" ca="1" si="15"/>
        <v>1.6</v>
      </c>
      <c r="X51" s="131"/>
      <c r="Y51" s="132"/>
      <c r="Z51" s="7"/>
      <c r="AA51" s="120" t="s">
        <v>84</v>
      </c>
      <c r="AB51" s="121"/>
      <c r="AC51" s="121"/>
      <c r="AD51" s="130">
        <f t="shared" ca="1" si="16"/>
        <v>1.4569104845528427</v>
      </c>
      <c r="AE51" s="131"/>
      <c r="AF51" s="132"/>
      <c r="AG51" s="2"/>
      <c r="AH51" s="120" t="s">
        <v>84</v>
      </c>
      <c r="AI51" s="121"/>
      <c r="AJ51" s="121"/>
      <c r="AK51" s="124">
        <f t="shared" ca="1" si="17"/>
        <v>3.0256656751494835</v>
      </c>
      <c r="AL51" s="124"/>
      <c r="AM51" s="125"/>
      <c r="AO51" s="120" t="s">
        <v>84</v>
      </c>
      <c r="AP51" s="121"/>
      <c r="AQ51" s="121"/>
      <c r="AR51" s="124" t="str">
        <f t="shared" si="18"/>
        <v>X</v>
      </c>
      <c r="AS51" s="124"/>
      <c r="AT51" s="125"/>
      <c r="AV51" s="120" t="s">
        <v>84</v>
      </c>
      <c r="AW51" s="121"/>
      <c r="AX51" s="121"/>
      <c r="AY51" s="124">
        <f t="shared" ca="1" si="19"/>
        <v>2.3813777985608922</v>
      </c>
      <c r="AZ51" s="124"/>
      <c r="BA51" s="125"/>
      <c r="BC51" s="120" t="s">
        <v>84</v>
      </c>
      <c r="BD51" s="121"/>
      <c r="BE51" s="121"/>
      <c r="BF51" s="124">
        <f t="shared" ca="1" si="20"/>
        <v>3.3484103469933104</v>
      </c>
      <c r="BG51" s="124"/>
      <c r="BH51" s="125"/>
      <c r="BJ51" s="120" t="s">
        <v>84</v>
      </c>
      <c r="BK51" s="121"/>
      <c r="BL51" s="121"/>
      <c r="BM51" s="124">
        <f t="shared" ca="1" si="21"/>
        <v>0.99303698268472984</v>
      </c>
      <c r="BN51" s="124"/>
      <c r="BO51" s="125"/>
      <c r="BQ51" s="120" t="s">
        <v>84</v>
      </c>
      <c r="BR51" s="121"/>
      <c r="BS51" s="121"/>
      <c r="BT51" s="124">
        <f t="shared" ca="1" si="22"/>
        <v>2.3813777985608944</v>
      </c>
      <c r="BU51" s="124"/>
      <c r="BV51" s="125"/>
      <c r="BX51" s="120" t="s">
        <v>84</v>
      </c>
      <c r="BY51" s="121"/>
      <c r="BZ51" s="121"/>
      <c r="CA51" s="124">
        <f t="shared" ca="1" si="23"/>
        <v>598.17421205110725</v>
      </c>
      <c r="CB51" s="124"/>
      <c r="CC51" s="125"/>
      <c r="CE51" s="120" t="s">
        <v>84</v>
      </c>
      <c r="CF51" s="121"/>
      <c r="CG51" s="121"/>
      <c r="CH51" s="124">
        <f t="shared" ca="1" si="24"/>
        <v>1.5035989089555581</v>
      </c>
      <c r="CI51" s="124"/>
      <c r="CJ51" s="125"/>
      <c r="CN51" s="119" t="s">
        <v>55</v>
      </c>
      <c r="CO51" s="119"/>
      <c r="CP51" s="81">
        <f t="array" aca="1" ref="CP51" ca="1">SQRT(SUM( (INDIRECT($CN51) - INDIRECT(CP$49))^2))</f>
        <v>3.5688639822017314</v>
      </c>
      <c r="CQ51" s="81">
        <f t="array" aca="1" ref="CQ51" ca="1">SQRT(SUM( (INDIRECT($CN51) - INDIRECT(CQ$49))^2))</f>
        <v>3.5306069145665586</v>
      </c>
      <c r="CR51" s="81">
        <f t="array" aca="1" ref="CR51" ca="1">SQRT(SUM( (INDIRECT($CN51) - INDIRECT(CR$49))^2))</f>
        <v>3.7491727482601154</v>
      </c>
      <c r="CS51" s="81">
        <f t="array" aca="1" ref="CS51" ca="1">SQRT(SUM( (INDIRECT($CN51) - INDIRECT(CS$49))^2))</f>
        <v>3.556133357496075</v>
      </c>
      <c r="CT51" s="81">
        <f t="array" aca="1" ref="CT51" ca="1">SQRT(SUM( (INDIRECT($CN51) - INDIRECT(CT$49))^2))</f>
        <v>3.1467146790907092</v>
      </c>
      <c r="CU51" s="81">
        <f t="array" aca="1" ref="CU51" ca="1">SQRT(SUM( (INDIRECT($CN51) - INDIRECT(CU$49))^2))</f>
        <v>3.3484103469933104</v>
      </c>
      <c r="CV51" s="81">
        <f t="array" aca="1" ref="CV51" ca="1">SQRT(SUM( (INDIRECT($CN51) - INDIRECT(CV$49))^2))</f>
        <v>5.6007311398076851</v>
      </c>
      <c r="CW51" s="81">
        <f t="array" aca="1" ref="CW51" ca="1">SQRT(SUM( (INDIRECT($CN51) - INDIRECT(CW$49))^2))</f>
        <v>0</v>
      </c>
      <c r="CX51" s="81">
        <f t="array" aca="1" ref="CX51" ca="1">SQRT(SUM( (INDIRECT($CN51) - INDIRECT(CX$49))^2))</f>
        <v>3.4309339303118018</v>
      </c>
      <c r="CY51" s="81">
        <f t="array" aca="1" ref="CY51" ca="1">SQRT(SUM( (INDIRECT($CN51) - INDIRECT(CY$49))^2))</f>
        <v>1.2662388274632821</v>
      </c>
      <c r="CZ51" s="81">
        <f t="array" aca="1" ref="CZ51" ca="1">SQRT(SUM( (INDIRECT($CN51) - INDIRECT(CZ$49))^2))</f>
        <v>598.00390448028224</v>
      </c>
      <c r="DA51" s="81">
        <f t="array" aca="1" ref="DA51" ca="1">SQRT(SUM( (INDIRECT($CN51) - INDIRECT(DA$49))^2))</f>
        <v>3.5471943077297201</v>
      </c>
      <c r="DD51" s="82" t="str">
        <f ca="1">IFERROR(INDEX($CP$49:$DA$49,MATCH(IF(MIN(CP51:DA51)&lt;=$DF$46,MIN(CP51:DA51),ERROR),CP51:DA51,0)),"ERROR")</f>
        <v>Refe8</v>
      </c>
      <c r="DE51" s="7"/>
      <c r="DF51" s="7">
        <f ca="1">IFERROR(IF(DD51="Refe1", Sheet2!$D$3, IF(DD51="Refe2", Sheet2!$K$3, IF(DD51="Refe3",Sheet2!$R$3,IF(DD51="Refe4",Sheet2!$Y$3,IF(DD51="Refe5", Sheet2!$AH$3, IF(DD51="Refe6",Sheet2!$AM$3, IF(DD51="Refe7",Sheet2!$AT$3,IF(DD51="Refe8", Sheet2!$BA$3, IF(DD51="Refe9", Sheet2!$BH$3, IF(DD51="Refe10", Sheet2!$BO$3, IF(DD51="Refe11",Sheet2!$BV$3, IF(DD51="Refe12",Sheet2!$CC$3,Probleme)))))))))))),"ERROR")</f>
        <v>7</v>
      </c>
      <c r="DG51" s="7"/>
      <c r="DH51" s="7"/>
    </row>
    <row r="52" spans="1:112" x14ac:dyDescent="0.25">
      <c r="A52" s="153"/>
      <c r="B52" s="153"/>
      <c r="C52" s="153"/>
      <c r="D52" s="153"/>
      <c r="F52" s="120" t="s">
        <v>85</v>
      </c>
      <c r="G52" s="121"/>
      <c r="H52" s="121"/>
      <c r="I52" s="124">
        <f t="shared" ca="1" si="13"/>
        <v>2.4131015280983972</v>
      </c>
      <c r="J52" s="124"/>
      <c r="K52" s="125"/>
      <c r="M52" s="120" t="s">
        <v>85</v>
      </c>
      <c r="N52" s="121"/>
      <c r="O52" s="121"/>
      <c r="P52" s="130">
        <f t="shared" ca="1" si="14"/>
        <v>2.9724408596174232</v>
      </c>
      <c r="Q52" s="131"/>
      <c r="R52" s="132"/>
      <c r="T52" s="120" t="s">
        <v>85</v>
      </c>
      <c r="U52" s="121"/>
      <c r="V52" s="121"/>
      <c r="W52" s="130">
        <f t="shared" ca="1" si="15"/>
        <v>2.6297157002085161</v>
      </c>
      <c r="X52" s="131"/>
      <c r="Y52" s="132"/>
      <c r="Z52" s="7"/>
      <c r="AA52" s="120" t="s">
        <v>85</v>
      </c>
      <c r="AB52" s="121"/>
      <c r="AC52" s="121"/>
      <c r="AD52" s="130">
        <f t="shared" ca="1" si="16"/>
        <v>2.7966554512152642</v>
      </c>
      <c r="AE52" s="131"/>
      <c r="AF52" s="132"/>
      <c r="AG52" s="2"/>
      <c r="AH52" s="120" t="s">
        <v>85</v>
      </c>
      <c r="AI52" s="121"/>
      <c r="AJ52" s="121"/>
      <c r="AK52" s="124">
        <f t="shared" ca="1" si="17"/>
        <v>4.1721144427235473</v>
      </c>
      <c r="AL52" s="124"/>
      <c r="AM52" s="125"/>
      <c r="AO52" s="120" t="s">
        <v>85</v>
      </c>
      <c r="AP52" s="121"/>
      <c r="AQ52" s="121"/>
      <c r="AR52" s="124">
        <f t="shared" ca="1" si="18"/>
        <v>2.3813777985608922</v>
      </c>
      <c r="AS52" s="124"/>
      <c r="AT52" s="125"/>
      <c r="AV52" s="120" t="s">
        <v>85</v>
      </c>
      <c r="AW52" s="121"/>
      <c r="AX52" s="121"/>
      <c r="AY52" s="124" t="str">
        <f t="shared" si="19"/>
        <v>X</v>
      </c>
      <c r="AZ52" s="124"/>
      <c r="BA52" s="125"/>
      <c r="BC52" s="120" t="s">
        <v>85</v>
      </c>
      <c r="BD52" s="121"/>
      <c r="BE52" s="121"/>
      <c r="BF52" s="124">
        <f t="shared" ca="1" si="20"/>
        <v>5.6007311398076851</v>
      </c>
      <c r="BG52" s="124"/>
      <c r="BH52" s="125"/>
      <c r="BJ52" s="120" t="s">
        <v>85</v>
      </c>
      <c r="BK52" s="121"/>
      <c r="BL52" s="121"/>
      <c r="BM52" s="124">
        <f t="shared" ca="1" si="21"/>
        <v>2.3601056208301747</v>
      </c>
      <c r="BN52" s="124"/>
      <c r="BO52" s="125"/>
      <c r="BQ52" s="120" t="s">
        <v>85</v>
      </c>
      <c r="BR52" s="121"/>
      <c r="BS52" s="121"/>
      <c r="BT52" s="124">
        <f t="shared" ca="1" si="22"/>
        <v>4.6317091625882334</v>
      </c>
      <c r="BU52" s="124"/>
      <c r="BV52" s="125"/>
      <c r="BX52" s="120" t="s">
        <v>85</v>
      </c>
      <c r="BY52" s="121"/>
      <c r="BZ52" s="121"/>
      <c r="CA52" s="124">
        <f t="shared" ca="1" si="23"/>
        <v>598.40919020615195</v>
      </c>
      <c r="CB52" s="124"/>
      <c r="CC52" s="125"/>
      <c r="CE52" s="120" t="s">
        <v>85</v>
      </c>
      <c r="CF52" s="121"/>
      <c r="CG52" s="121"/>
      <c r="CH52" s="124">
        <f t="shared" ca="1" si="24"/>
        <v>2.523571253957317</v>
      </c>
      <c r="CI52" s="124"/>
      <c r="CJ52" s="125"/>
      <c r="CN52" s="119" t="s">
        <v>56</v>
      </c>
      <c r="CO52" s="119"/>
      <c r="CP52" s="81">
        <f t="array" aca="1" ref="CP52" ca="1">SQRT(SUM( (INDIRECT($CN52) - INDIRECT(CP$49))^2))</f>
        <v>2.1778008077013591</v>
      </c>
      <c r="CQ52" s="81">
        <f t="array" aca="1" ref="CQ52" ca="1">SQRT(SUM( (INDIRECT($CN52) - INDIRECT(CQ$49))^2))</f>
        <v>0.69226881419800446</v>
      </c>
      <c r="CR52" s="81">
        <f t="array" aca="1" ref="CR52" ca="1">SQRT(SUM( (INDIRECT($CN52) - INDIRECT(CR$49))^2))</f>
        <v>1.9259377225422201</v>
      </c>
      <c r="CS52" s="81">
        <f t="array" aca="1" ref="CS52" ca="1">SQRT(SUM( (INDIRECT($CN52) - INDIRECT(CS$49))^2))</f>
        <v>2.2288616536499326</v>
      </c>
      <c r="CT52" s="81">
        <f t="array" aca="1" ref="CT52" ca="1">SQRT(SUM( (INDIRECT($CN52) - INDIRECT(CT$49))^2))</f>
        <v>2.259332497295016</v>
      </c>
      <c r="CU52" s="81">
        <f t="array" aca="1" ref="CU52" ca="1">SQRT(SUM( (INDIRECT($CN52) - INDIRECT(CU$49))^2))</f>
        <v>2.269192832509197</v>
      </c>
      <c r="CV52" s="81">
        <f t="array" aca="1" ref="CV52" ca="1">SQRT(SUM( (INDIRECT($CN52) - INDIRECT(CV$49))^2))</f>
        <v>2.9315986090636468</v>
      </c>
      <c r="CW52" s="81">
        <f t="array" aca="1" ref="CW52" ca="1">SQRT(SUM( (INDIRECT($CN52) - INDIRECT(CW$49))^2))</f>
        <v>3.6369980244192655</v>
      </c>
      <c r="CX52" s="81">
        <f t="array" aca="1" ref="CX52" ca="1">SQRT(SUM( (INDIRECT($CN52) - INDIRECT(CX$49))^2))</f>
        <v>1.5877886653471831</v>
      </c>
      <c r="CY52" s="81">
        <f t="array" aca="1" ref="CY52" ca="1">SQRT(SUM( (INDIRECT($CN52) - INDIRECT(CY$49))^2))</f>
        <v>2.9315986090636481</v>
      </c>
      <c r="CZ52" s="81">
        <f t="array" aca="1" ref="CZ52" ca="1">SQRT(SUM( (INDIRECT($CN52) - INDIRECT(CZ$49))^2))</f>
        <v>598.1641301105625</v>
      </c>
      <c r="DA52" s="81">
        <f t="array" aca="1" ref="DA52" ca="1">SQRT(SUM( (INDIRECT($CN52) - INDIRECT(DA$49))^2))</f>
        <v>1.5724036369618535</v>
      </c>
      <c r="DD52" s="82" t="str">
        <f ca="1">IFERROR(INDEX($CP$49:$DA$49,MATCH(IF(MIN(CP52:DA52)&lt;=$DF$46,MIN(CP52:DA52),ERROR),CP52:DA52,0)),"ERROR")</f>
        <v>Refe2</v>
      </c>
      <c r="DE52" s="7"/>
      <c r="DF52" s="7">
        <f ca="1">IFERROR(IF(DD52="Refe1", Sheet2!$D$3, IF(DD52="Refe2", Sheet2!$K$3, IF(DD52="Refe3",Sheet2!$R$3,IF(DD52="Refe4",Sheet2!$Y$3,IF(DD52="Refe5", Sheet2!$AH$3, IF(DD52="Refe6",Sheet2!$AM$3, IF(DD52="Refe7",Sheet2!$AT$3,IF(DD52="Refe8", Sheet2!$BA$3, IF(DD52="Refe9", Sheet2!$BH$3, IF(DD52="Refe10", Sheet2!$BO$3, IF(DD52="Refe11",Sheet2!$BV$3, IF(DD52="Refe12",Sheet2!$CC$3,Probleme)))))))))))),"ERROR")</f>
        <v>1</v>
      </c>
      <c r="DG52" s="7"/>
      <c r="DH52" s="7"/>
    </row>
    <row r="53" spans="1:112" x14ac:dyDescent="0.25">
      <c r="A53" s="153"/>
      <c r="B53" s="153"/>
      <c r="C53" s="153"/>
      <c r="D53" s="153"/>
      <c r="F53" s="120" t="s">
        <v>86</v>
      </c>
      <c r="G53" s="121"/>
      <c r="H53" s="121"/>
      <c r="I53" s="124">
        <f t="shared" ca="1" si="13"/>
        <v>3.5688639822017314</v>
      </c>
      <c r="J53" s="124"/>
      <c r="K53" s="125"/>
      <c r="M53" s="120" t="s">
        <v>86</v>
      </c>
      <c r="N53" s="121"/>
      <c r="O53" s="121"/>
      <c r="P53" s="130">
        <f t="shared" ca="1" si="14"/>
        <v>3.5306069145665586</v>
      </c>
      <c r="Q53" s="131"/>
      <c r="R53" s="132"/>
      <c r="T53" s="120" t="s">
        <v>86</v>
      </c>
      <c r="U53" s="121"/>
      <c r="V53" s="121"/>
      <c r="W53" s="130">
        <f t="shared" ca="1" si="15"/>
        <v>3.7491727482601154</v>
      </c>
      <c r="X53" s="131"/>
      <c r="Y53" s="132"/>
      <c r="Z53" s="7"/>
      <c r="AA53" s="120" t="s">
        <v>86</v>
      </c>
      <c r="AB53" s="121"/>
      <c r="AC53" s="121"/>
      <c r="AD53" s="130">
        <f t="shared" ca="1" si="16"/>
        <v>3.556133357496075</v>
      </c>
      <c r="AE53" s="131"/>
      <c r="AF53" s="132"/>
      <c r="AG53" s="2"/>
      <c r="AH53" s="120" t="s">
        <v>86</v>
      </c>
      <c r="AI53" s="121"/>
      <c r="AJ53" s="121"/>
      <c r="AK53" s="124">
        <f t="shared" ca="1" si="17"/>
        <v>3.1467146790907092</v>
      </c>
      <c r="AL53" s="124"/>
      <c r="AM53" s="125"/>
      <c r="AO53" s="120" t="s">
        <v>86</v>
      </c>
      <c r="AP53" s="121"/>
      <c r="AQ53" s="121"/>
      <c r="AR53" s="124">
        <f t="shared" ca="1" si="18"/>
        <v>3.3484103469933104</v>
      </c>
      <c r="AS53" s="124"/>
      <c r="AT53" s="125"/>
      <c r="AV53" s="120" t="s">
        <v>86</v>
      </c>
      <c r="AW53" s="121"/>
      <c r="AX53" s="121"/>
      <c r="AY53" s="124">
        <f t="shared" ca="1" si="19"/>
        <v>5.6007311398076851</v>
      </c>
      <c r="AZ53" s="124"/>
      <c r="BA53" s="125"/>
      <c r="BC53" s="120" t="s">
        <v>86</v>
      </c>
      <c r="BD53" s="121"/>
      <c r="BE53" s="121"/>
      <c r="BF53" s="124" t="str">
        <f t="shared" si="20"/>
        <v>X</v>
      </c>
      <c r="BG53" s="124"/>
      <c r="BH53" s="125"/>
      <c r="BJ53" s="120" t="s">
        <v>86</v>
      </c>
      <c r="BK53" s="121"/>
      <c r="BL53" s="121"/>
      <c r="BM53" s="124">
        <f t="shared" ca="1" si="21"/>
        <v>3.4309339303118018</v>
      </c>
      <c r="BN53" s="124"/>
      <c r="BO53" s="125"/>
      <c r="BQ53" s="120" t="s">
        <v>86</v>
      </c>
      <c r="BR53" s="121"/>
      <c r="BS53" s="121"/>
      <c r="BT53" s="124">
        <f t="shared" ca="1" si="22"/>
        <v>1.2662388274632821</v>
      </c>
      <c r="BU53" s="124"/>
      <c r="BV53" s="125"/>
      <c r="BX53" s="120" t="s">
        <v>86</v>
      </c>
      <c r="BY53" s="121"/>
      <c r="BZ53" s="121"/>
      <c r="CA53" s="124">
        <f t="shared" ca="1" si="23"/>
        <v>598.00390448028224</v>
      </c>
      <c r="CB53" s="124"/>
      <c r="CC53" s="125"/>
      <c r="CE53" s="120" t="s">
        <v>86</v>
      </c>
      <c r="CF53" s="121"/>
      <c r="CG53" s="121"/>
      <c r="CH53" s="124">
        <f t="shared" ca="1" si="24"/>
        <v>3.5471943077297201</v>
      </c>
      <c r="CI53" s="124"/>
      <c r="CJ53" s="125"/>
      <c r="CN53" s="119" t="s">
        <v>57</v>
      </c>
      <c r="CO53" s="119"/>
      <c r="CP53" s="81">
        <f t="array" aca="1" ref="CP53" ca="1">SQRT(SUM( (INDIRECT($CN53) - INDIRECT(CP$49))^2))</f>
        <v>1.6899830756678409</v>
      </c>
      <c r="CQ53" s="81">
        <f t="array" aca="1" ref="CQ53" ca="1">SQRT(SUM( (INDIRECT($CN53) - INDIRECT(CQ$49))^2))</f>
        <v>2.6662661761893034</v>
      </c>
      <c r="CR53" s="81">
        <f t="array" aca="1" ref="CR53" ca="1">SQRT(SUM( (INDIRECT($CN53) - INDIRECT(CR$49))^2))</f>
        <v>1.9486625083884093</v>
      </c>
      <c r="CS53" s="81">
        <f t="array" aca="1" ref="CS53" ca="1">SQRT(SUM( (INDIRECT($CN53) - INDIRECT(CS$49))^2))</f>
        <v>1.9900250978142771</v>
      </c>
      <c r="CT53" s="81">
        <f t="array" aca="1" ref="CT53" ca="1">SQRT(SUM( (INDIRECT($CN53) - INDIRECT(CT$49))^2))</f>
        <v>2.8875099812205836</v>
      </c>
      <c r="CU53" s="81">
        <f t="array" aca="1" ref="CU53" ca="1">SQRT(SUM( (INDIRECT($CN53) - INDIRECT(CU$49))^2))</f>
        <v>1.7573116676788954</v>
      </c>
      <c r="CV53" s="81">
        <f t="array" aca="1" ref="CV53" ca="1">SQRT(SUM( (INDIRECT($CN53) - INDIRECT(CV$49))^2))</f>
        <v>3.9708161175741603</v>
      </c>
      <c r="CW53" s="81">
        <f t="array" aca="1" ref="CW53" ca="1">SQRT(SUM( (INDIRECT($CN53) - INDIRECT(CW$49))^2))</f>
        <v>1.9861043181294409</v>
      </c>
      <c r="CX53" s="81">
        <f t="array" aca="1" ref="CX53" ca="1">SQRT(SUM( (INDIRECT($CN53) - INDIRECT(CX$49))^2))</f>
        <v>1.7182822507243611</v>
      </c>
      <c r="CY53" s="81">
        <f t="array" aca="1" ref="CY53" ca="1">SQRT(SUM( (INDIRECT($CN53) - INDIRECT(CY$49))^2))</f>
        <v>0.77027230053424156</v>
      </c>
      <c r="CZ53" s="81">
        <f t="array" aca="1" ref="CZ53" ca="1">SQRT(SUM( (INDIRECT($CN53) - INDIRECT(CZ$49))^2))</f>
        <v>598.00662770801944</v>
      </c>
      <c r="DA53" s="81">
        <f t="array" aca="1" ref="DA53" ca="1">SQRT(SUM( (INDIRECT($CN53) - INDIRECT(DA$49))^2))</f>
        <v>2.1998485539395811</v>
      </c>
      <c r="DD53" s="82" t="str">
        <f ca="1">IFERROR(INDEX($CP$49:$DA$49,MATCH(IF(MIN(CP53:DA53)&lt;=$DF$46,MIN(CP53:DA53),ERROR),CP53:DA53,0)),"ERROR")</f>
        <v>Refe10</v>
      </c>
      <c r="DE53" s="7"/>
      <c r="DF53" s="7">
        <f ca="1">IFERROR(IF(DD53="Refe1", Sheet2!$D$3, IF(DD53="Refe2", Sheet2!$K$3, IF(DD53="Refe3",Sheet2!$R$3,IF(DD53="Refe4",Sheet2!$Y$3,IF(DD53="Refe5", Sheet2!$AH$3, IF(DD53="Refe6",Sheet2!$AM$3, IF(DD53="Refe7",Sheet2!$AT$3,IF(DD53="Refe8", Sheet2!$BA$3, IF(DD53="Refe9", Sheet2!$BH$3, IF(DD53="Refe10", Sheet2!$BO$3, IF(DD53="Refe11",Sheet2!$BV$3, IF(DD53="Refe12",Sheet2!$CC$3,Probleme)))))))))))),"ERROR")</f>
        <v>9</v>
      </c>
      <c r="DG53" s="7"/>
      <c r="DH53" s="7"/>
    </row>
    <row r="54" spans="1:112" x14ac:dyDescent="0.25">
      <c r="C54" s="119"/>
      <c r="D54" s="119"/>
      <c r="F54" s="120" t="s">
        <v>87</v>
      </c>
      <c r="G54" s="121"/>
      <c r="H54" s="121"/>
      <c r="I54" s="124">
        <f t="shared" ca="1" si="13"/>
        <v>0.62371056204407938</v>
      </c>
      <c r="J54" s="124"/>
      <c r="K54" s="125"/>
      <c r="M54" s="120" t="s">
        <v>87</v>
      </c>
      <c r="N54" s="121"/>
      <c r="O54" s="121"/>
      <c r="P54" s="130">
        <f t="shared" ca="1" si="14"/>
        <v>1.8182745801939793</v>
      </c>
      <c r="Q54" s="131"/>
      <c r="R54" s="132"/>
      <c r="T54" s="120" t="s">
        <v>87</v>
      </c>
      <c r="U54" s="121"/>
      <c r="V54" s="121"/>
      <c r="W54" s="130">
        <f t="shared" ca="1" si="15"/>
        <v>0.99303698268472984</v>
      </c>
      <c r="X54" s="131"/>
      <c r="Y54" s="132"/>
      <c r="Z54" s="7"/>
      <c r="AA54" s="120" t="s">
        <v>87</v>
      </c>
      <c r="AB54" s="121"/>
      <c r="AC54" s="121"/>
      <c r="AD54" s="130">
        <f t="shared" ca="1" si="16"/>
        <v>1.4182974835473459</v>
      </c>
      <c r="AE54" s="131"/>
      <c r="AF54" s="132"/>
      <c r="AG54" s="2"/>
      <c r="AH54" s="120" t="s">
        <v>87</v>
      </c>
      <c r="AI54" s="121"/>
      <c r="AJ54" s="121"/>
      <c r="AK54" s="124">
        <f t="shared" ca="1" si="17"/>
        <v>2.6493150935388203</v>
      </c>
      <c r="AL54" s="124"/>
      <c r="AM54" s="125"/>
      <c r="AO54" s="120" t="s">
        <v>87</v>
      </c>
      <c r="AP54" s="121"/>
      <c r="AQ54" s="121"/>
      <c r="AR54" s="124">
        <f t="shared" ca="1" si="18"/>
        <v>0.99303698268472984</v>
      </c>
      <c r="AS54" s="124"/>
      <c r="AT54" s="125"/>
      <c r="AV54" s="120" t="s">
        <v>87</v>
      </c>
      <c r="AW54" s="121"/>
      <c r="AX54" s="121"/>
      <c r="AY54" s="124">
        <f t="shared" ca="1" si="19"/>
        <v>2.3601056208301747</v>
      </c>
      <c r="AZ54" s="124"/>
      <c r="BA54" s="125"/>
      <c r="BC54" s="120" t="s">
        <v>87</v>
      </c>
      <c r="BD54" s="121"/>
      <c r="BE54" s="121"/>
      <c r="BF54" s="124">
        <f t="shared" ca="1" si="20"/>
        <v>3.4309339303118018</v>
      </c>
      <c r="BG54" s="124"/>
      <c r="BH54" s="125"/>
      <c r="BJ54" s="120" t="s">
        <v>87</v>
      </c>
      <c r="BK54" s="121"/>
      <c r="BL54" s="121"/>
      <c r="BM54" s="124" t="str">
        <f t="shared" si="21"/>
        <v>X</v>
      </c>
      <c r="BN54" s="124"/>
      <c r="BO54" s="125"/>
      <c r="BQ54" s="120" t="s">
        <v>87</v>
      </c>
      <c r="BR54" s="121"/>
      <c r="BS54" s="121"/>
      <c r="BT54" s="124">
        <f t="shared" ca="1" si="22"/>
        <v>2.3601056208301769</v>
      </c>
      <c r="BU54" s="124"/>
      <c r="BV54" s="125"/>
      <c r="BX54" s="120" t="s">
        <v>87</v>
      </c>
      <c r="BY54" s="121"/>
      <c r="BZ54" s="121"/>
      <c r="CA54" s="124">
        <f t="shared" ca="1" si="23"/>
        <v>598.17109204244673</v>
      </c>
      <c r="CB54" s="124"/>
      <c r="CC54" s="125"/>
      <c r="CE54" s="120" t="s">
        <v>87</v>
      </c>
      <c r="CF54" s="121"/>
      <c r="CG54" s="121"/>
      <c r="CH54" s="124">
        <f t="shared" ca="1" si="24"/>
        <v>1.2271836647542029</v>
      </c>
      <c r="CI54" s="124"/>
      <c r="CJ54" s="125"/>
      <c r="CN54" s="119" t="s">
        <v>58</v>
      </c>
      <c r="CO54" s="119"/>
      <c r="CP54" s="81">
        <f t="array" aca="1" ref="CP54" ca="1">SQRT(SUM( (INDIRECT($CN54) - INDIRECT(CP$49))^2))</f>
        <v>0.50644664952021168</v>
      </c>
      <c r="CQ54" s="81">
        <f t="array" aca="1" ref="CQ54" ca="1">SQRT(SUM( (INDIRECT($CN54) - INDIRECT(CQ$49))^2))</f>
        <v>2.1015529468942509</v>
      </c>
      <c r="CR54" s="81">
        <f t="array" aca="1" ref="CR54" ca="1">SQRT(SUM( (INDIRECT($CN54) - INDIRECT(CR$49))^2))</f>
        <v>1.067005200194399</v>
      </c>
      <c r="CS54" s="81">
        <f t="array" aca="1" ref="CS54" ca="1">SQRT(SUM( (INDIRECT($CN54) - INDIRECT(CS$49))^2))</f>
        <v>1.6139374695857864</v>
      </c>
      <c r="CT54" s="81">
        <f t="array" aca="1" ref="CT54" ca="1">SQRT(SUM( (INDIRECT($CN54) - INDIRECT(CT$49))^2))</f>
        <v>2.7941162664537447</v>
      </c>
      <c r="CU54" s="81">
        <f t="array" aca="1" ref="CU54" ca="1">SQRT(SUM( (INDIRECT($CN54) - INDIRECT(CU$49))^2))</f>
        <v>0.91652005628116029</v>
      </c>
      <c r="CV54" s="81">
        <f t="array" aca="1" ref="CV54" ca="1">SQRT(SUM( (INDIRECT($CN54) - INDIRECT(CV$49))^2))</f>
        <v>2.1915748437502036</v>
      </c>
      <c r="CW54" s="81">
        <f t="array" aca="1" ref="CW54" ca="1">SQRT(SUM( (INDIRECT($CN54) - INDIRECT(CW$49))^2))</f>
        <v>3.6286672374374538</v>
      </c>
      <c r="CX54" s="81">
        <f t="array" aca="1" ref="CX54" ca="1">SQRT(SUM( (INDIRECT($CN54) - INDIRECT(CX$49))^2))</f>
        <v>0.44985003126670015</v>
      </c>
      <c r="CY54" s="81">
        <f t="array" aca="1" ref="CY54" ca="1">SQRT(SUM( (INDIRECT($CN54) - INDIRECT(CY$49))^2))</f>
        <v>2.5513274899374765</v>
      </c>
      <c r="CZ54" s="81">
        <f t="array" aca="1" ref="CZ54" ca="1">SQRT(SUM( (INDIRECT($CN54) - INDIRECT(CZ$49))^2))</f>
        <v>598.40852387948905</v>
      </c>
      <c r="DA54" s="81">
        <f t="array" aca="1" ref="DA54" ca="1">SQRT(SUM( (INDIRECT($CN54) - INDIRECT(DA$49))^2))</f>
        <v>1.2272623005937955</v>
      </c>
      <c r="DD54" s="82" t="str">
        <f ca="1">IFERROR(INDEX($CP$49:$DA$49,MATCH(IF(MIN(CP54:DA54)&lt;=$DF$46,MIN(CP54:DA54),ERROR),CP54:DA54,0)),"ERROR")</f>
        <v>Refe9</v>
      </c>
      <c r="DE54" s="7"/>
      <c r="DF54" s="7">
        <f ca="1">IFERROR(IF(DD54="Refe1", Sheet2!$D$3, IF(DD54="Refe2", Sheet2!$K$3, IF(DD54="Refe3",Sheet2!$R$3,IF(DD54="Refe4",Sheet2!$Y$3,IF(DD54="Refe5", Sheet2!$AH$3, IF(DD54="Refe6",Sheet2!$AM$3, IF(DD54="Refe7",Sheet2!$AT$3,IF(DD54="Refe8", Sheet2!$BA$3, IF(DD54="Refe9", Sheet2!$BH$3, IF(DD54="Refe10", Sheet2!$BO$3, IF(DD54="Refe11",Sheet2!$BV$3, IF(DD54="Refe12",Sheet2!$CC$3,Probleme)))))))))))),"ERROR")</f>
        <v>8</v>
      </c>
      <c r="DG54" s="7"/>
      <c r="DH54" s="7"/>
    </row>
    <row r="55" spans="1:112" x14ac:dyDescent="0.25">
      <c r="C55" s="119"/>
      <c r="D55" s="119"/>
      <c r="F55" s="120" t="s">
        <v>88</v>
      </c>
      <c r="G55" s="121"/>
      <c r="H55" s="121"/>
      <c r="I55" s="124">
        <f t="shared" ca="1" si="13"/>
        <v>2.4131015280983994</v>
      </c>
      <c r="J55" s="124"/>
      <c r="K55" s="125"/>
      <c r="M55" s="120" t="s">
        <v>88</v>
      </c>
      <c r="N55" s="121"/>
      <c r="O55" s="121"/>
      <c r="P55" s="142">
        <f t="shared" ca="1" si="14"/>
        <v>2.9724408596174245</v>
      </c>
      <c r="Q55" s="143"/>
      <c r="R55" s="144"/>
      <c r="T55" s="120" t="s">
        <v>88</v>
      </c>
      <c r="U55" s="121"/>
      <c r="V55" s="121"/>
      <c r="W55" s="130">
        <f t="shared" ca="1" si="15"/>
        <v>2.6297157002085179</v>
      </c>
      <c r="X55" s="131"/>
      <c r="Y55" s="132"/>
      <c r="Z55" s="7"/>
      <c r="AA55" s="120" t="s">
        <v>88</v>
      </c>
      <c r="AB55" s="121"/>
      <c r="AC55" s="121"/>
      <c r="AD55" s="130">
        <f t="shared" ca="1" si="16"/>
        <v>2.5675828541279961</v>
      </c>
      <c r="AE55" s="131"/>
      <c r="AF55" s="132"/>
      <c r="AG55" s="2"/>
      <c r="AH55" s="120" t="s">
        <v>88</v>
      </c>
      <c r="AI55" s="121"/>
      <c r="AJ55" s="121"/>
      <c r="AK55" s="124">
        <f t="shared" ca="1" si="17"/>
        <v>2.8610833931295492</v>
      </c>
      <c r="AL55" s="124"/>
      <c r="AM55" s="125"/>
      <c r="AO55" s="120" t="s">
        <v>88</v>
      </c>
      <c r="AP55" s="121"/>
      <c r="AQ55" s="121"/>
      <c r="AR55" s="124">
        <f t="shared" ca="1" si="18"/>
        <v>2.3813777985608944</v>
      </c>
      <c r="AS55" s="124"/>
      <c r="AT55" s="125"/>
      <c r="AV55" s="120" t="s">
        <v>88</v>
      </c>
      <c r="AW55" s="121"/>
      <c r="AX55" s="121"/>
      <c r="AY55" s="124">
        <f t="shared" ca="1" si="19"/>
        <v>4.6317091625882334</v>
      </c>
      <c r="AZ55" s="124"/>
      <c r="BA55" s="125"/>
      <c r="BC55" s="120" t="s">
        <v>88</v>
      </c>
      <c r="BD55" s="121"/>
      <c r="BE55" s="121"/>
      <c r="BF55" s="124">
        <f t="shared" ca="1" si="20"/>
        <v>1.2662388274632821</v>
      </c>
      <c r="BG55" s="124"/>
      <c r="BH55" s="125"/>
      <c r="BJ55" s="120" t="s">
        <v>88</v>
      </c>
      <c r="BK55" s="121"/>
      <c r="BL55" s="121"/>
      <c r="BM55" s="124">
        <f t="shared" ca="1" si="21"/>
        <v>2.3601056208301769</v>
      </c>
      <c r="BN55" s="124"/>
      <c r="BO55" s="125"/>
      <c r="BQ55" s="120" t="s">
        <v>88</v>
      </c>
      <c r="BR55" s="121"/>
      <c r="BS55" s="121"/>
      <c r="BT55" s="124" t="str">
        <f t="shared" si="22"/>
        <v>X</v>
      </c>
      <c r="BU55" s="124"/>
      <c r="BV55" s="125"/>
      <c r="BX55" s="120" t="s">
        <v>88</v>
      </c>
      <c r="BY55" s="121"/>
      <c r="BZ55" s="121"/>
      <c r="CA55" s="124">
        <f t="shared" ca="1" si="23"/>
        <v>597.94322733911224</v>
      </c>
      <c r="CB55" s="124"/>
      <c r="CC55" s="125"/>
      <c r="CE55" s="120" t="s">
        <v>88</v>
      </c>
      <c r="CF55" s="121"/>
      <c r="CG55" s="121"/>
      <c r="CH55" s="124">
        <f t="shared" ca="1" si="24"/>
        <v>2.7188990186837971</v>
      </c>
      <c r="CI55" s="124"/>
      <c r="CJ55" s="125"/>
      <c r="CN55" s="119" t="s">
        <v>59</v>
      </c>
      <c r="CO55" s="119"/>
      <c r="CP55" s="81">
        <f t="array" aca="1" ref="CP55" ca="1">SQRT(SUM( (INDIRECT($CN55) - INDIRECT(CP$49))^2))</f>
        <v>0.43084540172096908</v>
      </c>
      <c r="CQ55" s="81">
        <f t="array" aca="1" ref="CQ55" ca="1">SQRT(SUM( (INDIRECT($CN55) - INDIRECT(CQ$49))^2))</f>
        <v>2.3109813108060107</v>
      </c>
      <c r="CR55" s="81">
        <f t="array" aca="1" ref="CR55" ca="1">SQRT(SUM( (INDIRECT($CN55) - INDIRECT(CR$49))^2))</f>
        <v>0.80944581049581921</v>
      </c>
      <c r="CS55" s="81">
        <f t="array" aca="1" ref="CS55" ca="1">SQRT(SUM( (INDIRECT($CN55) - INDIRECT(CS$49))^2))</f>
        <v>1.296757994929348</v>
      </c>
      <c r="CT55" s="81">
        <f t="array" aca="1" ref="CT55" ca="1">SQRT(SUM( (INDIRECT($CN55) - INDIRECT(CT$49))^2))</f>
        <v>3.2664497727974933</v>
      </c>
      <c r="CU55" s="81">
        <f t="array" aca="1" ref="CU55" ca="1">SQRT(SUM( (INDIRECT($CN55) - INDIRECT(CU$49))^2))</f>
        <v>1.0486405316282974</v>
      </c>
      <c r="CV55" s="81">
        <f t="array" aca="1" ref="CV55" ca="1">SQRT(SUM( (INDIRECT($CN55) - INDIRECT(CV$49))^2))</f>
        <v>2.3975553520393929</v>
      </c>
      <c r="CW55" s="81">
        <f t="array" aca="1" ref="CW55" ca="1">SQRT(SUM( (INDIRECT($CN55) - INDIRECT(CW$49))^2))</f>
        <v>3.6492398163585165</v>
      </c>
      <c r="CX55" s="81">
        <f t="array" aca="1" ref="CX55" ca="1">SQRT(SUM( (INDIRECT($CN55) - INDIRECT(CX$49))^2))</f>
        <v>0.72095280073672685</v>
      </c>
      <c r="CY55" s="81">
        <f t="array" aca="1" ref="CY55" ca="1">SQRT(SUM( (INDIRECT($CN55) - INDIRECT(CY$49))^2))</f>
        <v>2.5009395298399455</v>
      </c>
      <c r="CZ55" s="81">
        <f t="array" aca="1" ref="CZ55" ca="1">SQRT(SUM( (INDIRECT($CN55) - INDIRECT(CZ$49))^2))</f>
        <v>598.08856781948998</v>
      </c>
      <c r="DA55" s="81">
        <f t="array" aca="1" ref="DA55" ca="1">SQRT(SUM( (INDIRECT($CN55) - INDIRECT(DA$49))^2))</f>
        <v>1.5469249523474229</v>
      </c>
      <c r="DD55" s="82" t="str">
        <f ca="1">IFERROR(INDEX($CP$49:$DA$49,MATCH(IF(MIN(CP55:DA55)&lt;=$DF$46,MIN(CP55:DA55),ERROR),CP55:DA55,0)),"ERROR")</f>
        <v>Refe1</v>
      </c>
      <c r="DE55" s="7"/>
      <c r="DF55" s="7">
        <f ca="1">IFERROR(IF(DD55="Refe1", Sheet2!$D$3, IF(DD55="Refe2", Sheet2!$K$3, IF(DD55="Refe3",Sheet2!$R$3,IF(DD55="Refe4",Sheet2!$Y$3,IF(DD55="Refe5", Sheet2!$AH$3, IF(DD55="Refe6",Sheet2!$AM$3, IF(DD55="Refe7",Sheet2!$AT$3,IF(DD55="Refe8", Sheet2!$BA$3, IF(DD55="Refe9", Sheet2!$BH$3, IF(DD55="Refe10", Sheet2!$BO$3, IF(DD55="Refe11",Sheet2!$BV$3, IF(DD55="Refe12",Sheet2!$CC$3,Probleme)))))))))))),"ERROR")</f>
        <v>0</v>
      </c>
      <c r="DG55" s="7"/>
      <c r="DH55" s="7"/>
    </row>
    <row r="56" spans="1:112" x14ac:dyDescent="0.25">
      <c r="C56" s="119"/>
      <c r="D56" s="119"/>
      <c r="F56" s="120" t="s">
        <v>89</v>
      </c>
      <c r="G56" s="121"/>
      <c r="H56" s="121"/>
      <c r="I56" s="124">
        <f t="shared" ca="1" si="13"/>
        <v>598.1753133436946</v>
      </c>
      <c r="J56" s="124"/>
      <c r="K56" s="125"/>
      <c r="M56" s="120" t="s">
        <v>89</v>
      </c>
      <c r="N56" s="121"/>
      <c r="O56" s="121"/>
      <c r="P56" s="145">
        <f t="shared" ca="1" si="14"/>
        <v>598.16391024410575</v>
      </c>
      <c r="Q56" s="146"/>
      <c r="R56" s="147"/>
      <c r="T56" s="120" t="s">
        <v>89</v>
      </c>
      <c r="U56" s="121"/>
      <c r="V56" s="121"/>
      <c r="W56" s="130">
        <f t="shared" ca="1" si="15"/>
        <v>598.17480645215585</v>
      </c>
      <c r="X56" s="131"/>
      <c r="Y56" s="132"/>
      <c r="Z56" s="7"/>
      <c r="AA56" s="120" t="s">
        <v>89</v>
      </c>
      <c r="AB56" s="121"/>
      <c r="AC56" s="121"/>
      <c r="AD56" s="130">
        <f t="shared" ca="1" si="16"/>
        <v>597.02302443597478</v>
      </c>
      <c r="AE56" s="131"/>
      <c r="AF56" s="132"/>
      <c r="AG56" s="2"/>
      <c r="AH56" s="120" t="s">
        <v>89</v>
      </c>
      <c r="AI56" s="121"/>
      <c r="AJ56" s="121"/>
      <c r="AK56" s="124">
        <f t="shared" ca="1" si="17"/>
        <v>598.88784876095008</v>
      </c>
      <c r="AL56" s="124"/>
      <c r="AM56" s="125"/>
      <c r="AO56" s="120" t="s">
        <v>89</v>
      </c>
      <c r="AP56" s="121"/>
      <c r="AQ56" s="121"/>
      <c r="AR56" s="124">
        <f t="shared" ca="1" si="18"/>
        <v>598.17421205110725</v>
      </c>
      <c r="AS56" s="124"/>
      <c r="AT56" s="125"/>
      <c r="AV56" s="120" t="s">
        <v>89</v>
      </c>
      <c r="AW56" s="121"/>
      <c r="AX56" s="121"/>
      <c r="AY56" s="124">
        <f t="shared" ca="1" si="19"/>
        <v>598.40919020615195</v>
      </c>
      <c r="AZ56" s="124"/>
      <c r="BA56" s="125"/>
      <c r="BC56" s="120" t="s">
        <v>89</v>
      </c>
      <c r="BD56" s="121"/>
      <c r="BE56" s="121"/>
      <c r="BF56" s="124">
        <f t="shared" ca="1" si="20"/>
        <v>598.00390448028224</v>
      </c>
      <c r="BG56" s="124"/>
      <c r="BH56" s="125"/>
      <c r="BJ56" s="120" t="s">
        <v>89</v>
      </c>
      <c r="BK56" s="121"/>
      <c r="BL56" s="121"/>
      <c r="BM56" s="124">
        <f t="shared" ca="1" si="21"/>
        <v>598.17109204244673</v>
      </c>
      <c r="BN56" s="124"/>
      <c r="BO56" s="125"/>
      <c r="BQ56" s="120" t="s">
        <v>89</v>
      </c>
      <c r="BR56" s="121"/>
      <c r="BS56" s="121"/>
      <c r="BT56" s="124">
        <f t="shared" ca="1" si="22"/>
        <v>597.94322733911224</v>
      </c>
      <c r="BU56" s="124"/>
      <c r="BV56" s="125"/>
      <c r="BX56" s="120" t="s">
        <v>89</v>
      </c>
      <c r="BY56" s="121"/>
      <c r="BZ56" s="121"/>
      <c r="CA56" s="124" t="str">
        <f t="shared" si="23"/>
        <v>X</v>
      </c>
      <c r="CB56" s="124"/>
      <c r="CC56" s="125"/>
      <c r="CE56" s="120" t="s">
        <v>89</v>
      </c>
      <c r="CF56" s="121"/>
      <c r="CG56" s="121"/>
      <c r="CH56" s="124">
        <f t="shared" ca="1" si="24"/>
        <v>599.12819700933323</v>
      </c>
      <c r="CI56" s="124"/>
      <c r="CJ56" s="125"/>
      <c r="CN56" s="119" t="s">
        <v>60</v>
      </c>
      <c r="CO56" s="119"/>
      <c r="CP56" s="81">
        <f t="array" aca="1" ref="CP56" ca="1">SQRT(SUM( (INDIRECT($CN56) - INDIRECT(CP$49))^2))</f>
        <v>1.3709038005711869</v>
      </c>
      <c r="CQ56" s="81">
        <f t="array" aca="1" ref="CQ56" ca="1">SQRT(SUM( (INDIRECT($CN56) - INDIRECT(CQ$49))^2))</f>
        <v>2.6204653499280641</v>
      </c>
      <c r="CR56" s="81">
        <f t="array" aca="1" ref="CR56" ca="1">SQRT(SUM( (INDIRECT($CN56) - INDIRECT(CR$49))^2))</f>
        <v>1.7958183789497228</v>
      </c>
      <c r="CS56" s="81">
        <f t="array" aca="1" ref="CS56" ca="1">SQRT(SUM( (INDIRECT($CN56) - INDIRECT(CS$49))^2))</f>
        <v>1.4216721880143854</v>
      </c>
      <c r="CT56" s="81">
        <f t="array" aca="1" ref="CT56" ca="1">SQRT(SUM( (INDIRECT($CN56) - INDIRECT(CT$49))^2))</f>
        <v>3.8355686558921742</v>
      </c>
      <c r="CU56" s="81">
        <f t="array" aca="1" ref="CU56" ca="1">SQRT(SUM( (INDIRECT($CN56) - INDIRECT(CU$49))^2))</f>
        <v>1.2549755576000718</v>
      </c>
      <c r="CV56" s="81">
        <f t="array" aca="1" ref="CV56" ca="1">SQRT(SUM( (INDIRECT($CN56) - INDIRECT(CV$49))^2))</f>
        <v>1.5818114847718245</v>
      </c>
      <c r="CW56" s="81">
        <f t="array" aca="1" ref="CW56" ca="1">SQRT(SUM( (INDIRECT($CN56) - INDIRECT(CW$49))^2))</f>
        <v>4.4587056689992695</v>
      </c>
      <c r="CX56" s="81">
        <f t="array" aca="1" ref="CX56" ca="1">SQRT(SUM( (INDIRECT($CN56) - INDIRECT(CX$49))^2))</f>
        <v>1.5136923962885507</v>
      </c>
      <c r="CY56" s="81">
        <f t="array" aca="1" ref="CY56" ca="1">SQRT(SUM( (INDIRECT($CN56) - INDIRECT(CY$49))^2))</f>
        <v>3.4346812051140136</v>
      </c>
      <c r="CZ56" s="81">
        <f t="array" aca="1" ref="CZ56" ca="1">SQRT(SUM( (INDIRECT($CN56) - INDIRECT(CZ$49))^2))</f>
        <v>597.62633357934681</v>
      </c>
      <c r="DA56" s="81">
        <f t="array" aca="1" ref="DA56" ca="1">SQRT(SUM( (INDIRECT($CN56) - INDIRECT(DA$49))^2))</f>
        <v>2.1829055338989578</v>
      </c>
      <c r="DD56" s="82" t="str">
        <f ca="1">IFERROR(INDEX($CP$49:$DA$49,MATCH(IF(MIN(CP56:DA56)&lt;=$DF$46,MIN(CP56:DA56),ERROR),CP56:DA56,0)),"ERROR")</f>
        <v>Refe6</v>
      </c>
      <c r="DE56" s="7"/>
      <c r="DF56" s="7">
        <f ca="1">IFERROR(IF(DD56="Refe1", Sheet2!$D$3, IF(DD56="Refe2", Sheet2!$K$3, IF(DD56="Refe3",Sheet2!$R$3,IF(DD56="Refe4",Sheet2!$Y$3,IF(DD56="Refe5", Sheet2!$AH$3, IF(DD56="Refe6",Sheet2!$AM$3, IF(DD56="Refe7",Sheet2!$AT$3,IF(DD56="Refe8", Sheet2!$BA$3, IF(DD56="Refe9", Sheet2!$BH$3, IF(DD56="Refe10", Sheet2!$BO$3, IF(DD56="Refe11",Sheet2!$BV$3, IF(DD56="Refe12",Sheet2!$CC$3,Probleme)))))))))))),"ERROR")</f>
        <v>5</v>
      </c>
      <c r="DG56" s="7"/>
      <c r="DH56" s="7"/>
    </row>
    <row r="57" spans="1:112" ht="15.75" thickBot="1" x14ac:dyDescent="0.3">
      <c r="C57" s="119"/>
      <c r="D57" s="119"/>
      <c r="F57" s="122" t="s">
        <v>91</v>
      </c>
      <c r="G57" s="123"/>
      <c r="H57" s="123"/>
      <c r="I57" s="126">
        <f t="shared" ca="1" si="13"/>
        <v>1.5277094287741473</v>
      </c>
      <c r="J57" s="126"/>
      <c r="K57" s="127"/>
      <c r="M57" s="122" t="s">
        <v>91</v>
      </c>
      <c r="N57" s="123"/>
      <c r="O57" s="123"/>
      <c r="P57" s="148">
        <f t="shared" ca="1" si="14"/>
        <v>1.5856049357723627</v>
      </c>
      <c r="Q57" s="149"/>
      <c r="R57" s="150"/>
      <c r="T57" s="122" t="s">
        <v>91</v>
      </c>
      <c r="U57" s="123"/>
      <c r="V57" s="123"/>
      <c r="W57" s="149">
        <f t="shared" ca="1" si="15"/>
        <v>1.5035989089555581</v>
      </c>
      <c r="X57" s="149"/>
      <c r="Y57" s="150"/>
      <c r="Z57" s="7"/>
      <c r="AA57" s="122" t="s">
        <v>91</v>
      </c>
      <c r="AB57" s="123"/>
      <c r="AC57" s="123"/>
      <c r="AD57" s="148">
        <f t="shared" ca="1" si="16"/>
        <v>2.2641506367022068</v>
      </c>
      <c r="AE57" s="149"/>
      <c r="AF57" s="150"/>
      <c r="AG57" s="2"/>
      <c r="AH57" s="122" t="s">
        <v>91</v>
      </c>
      <c r="AI57" s="123"/>
      <c r="AJ57" s="123"/>
      <c r="AK57" s="126">
        <f t="shared" ca="1" si="17"/>
        <v>2.655703061919088</v>
      </c>
      <c r="AL57" s="126"/>
      <c r="AM57" s="127"/>
      <c r="AO57" s="122" t="s">
        <v>91</v>
      </c>
      <c r="AP57" s="123"/>
      <c r="AQ57" s="123"/>
      <c r="AR57" s="126">
        <f t="shared" ca="1" si="18"/>
        <v>1.5035989089555581</v>
      </c>
      <c r="AS57" s="126"/>
      <c r="AT57" s="127"/>
      <c r="AV57" s="122" t="s">
        <v>91</v>
      </c>
      <c r="AW57" s="123"/>
      <c r="AX57" s="123"/>
      <c r="AY57" s="126">
        <f t="shared" ca="1" si="19"/>
        <v>2.523571253957317</v>
      </c>
      <c r="AZ57" s="126"/>
      <c r="BA57" s="127"/>
      <c r="BC57" s="122" t="s">
        <v>91</v>
      </c>
      <c r="BD57" s="123"/>
      <c r="BE57" s="123"/>
      <c r="BF57" s="126">
        <f t="shared" ca="1" si="20"/>
        <v>3.5471943077297201</v>
      </c>
      <c r="BG57" s="126"/>
      <c r="BH57" s="127"/>
      <c r="BJ57" s="122" t="s">
        <v>91</v>
      </c>
      <c r="BK57" s="123"/>
      <c r="BL57" s="123"/>
      <c r="BM57" s="126">
        <f t="shared" ca="1" si="21"/>
        <v>1.2271836647542029</v>
      </c>
      <c r="BN57" s="126"/>
      <c r="BO57" s="127"/>
      <c r="BQ57" s="122" t="s">
        <v>91</v>
      </c>
      <c r="BR57" s="123"/>
      <c r="BS57" s="123"/>
      <c r="BT57" s="126">
        <f t="shared" ca="1" si="22"/>
        <v>2.7188990186837971</v>
      </c>
      <c r="BU57" s="126"/>
      <c r="BV57" s="127"/>
      <c r="BX57" s="122" t="s">
        <v>91</v>
      </c>
      <c r="BY57" s="123"/>
      <c r="BZ57" s="123"/>
      <c r="CA57" s="126">
        <f t="shared" ca="1" si="23"/>
        <v>599.12819700933323</v>
      </c>
      <c r="CB57" s="126"/>
      <c r="CC57" s="127"/>
      <c r="CE57" s="122" t="s">
        <v>91</v>
      </c>
      <c r="CF57" s="123"/>
      <c r="CG57" s="123"/>
      <c r="CH57" s="126" t="str">
        <f t="shared" si="24"/>
        <v>X</v>
      </c>
      <c r="CI57" s="126"/>
      <c r="CJ57" s="127"/>
      <c r="CN57" s="119" t="s">
        <v>61</v>
      </c>
      <c r="CO57" s="119"/>
      <c r="CP57" s="81">
        <f t="array" aca="1" ref="CP57" ca="1">SQRT(SUM( (INDIRECT($CN57) - INDIRECT(CP$49))^2))</f>
        <v>3.6961226137403087</v>
      </c>
      <c r="CQ57" s="81">
        <f t="array" aca="1" ref="CQ57" ca="1">SQRT(SUM( (INDIRECT($CN57) - INDIRECT(CQ$49))^2))</f>
        <v>4.2193954169340966</v>
      </c>
      <c r="CR57" s="81">
        <f t="array" aca="1" ref="CR57" ca="1">SQRT(SUM( (INDIRECT($CN57) - INDIRECT(CR$49))^2))</f>
        <v>3.8604789449554655</v>
      </c>
      <c r="CS57" s="81">
        <f t="array" aca="1" ref="CS57" ca="1">SQRT(SUM( (INDIRECT($CN57) - INDIRECT(CS$49))^2))</f>
        <v>3.9277747089725579</v>
      </c>
      <c r="CT57" s="81">
        <f t="array" aca="1" ref="CT57" ca="1">SQRT(SUM( (INDIRECT($CN57) - INDIRECT(CT$49))^2))</f>
        <v>5.397735782097282</v>
      </c>
      <c r="CU57" s="81">
        <f t="array" aca="1" ref="CU57" ca="1">SQRT(SUM( (INDIRECT($CN57) - INDIRECT(CU$49))^2))</f>
        <v>3.6888070814891449</v>
      </c>
      <c r="CV57" s="81">
        <f t="array" aca="1" ref="CV57" ca="1">SQRT(SUM( (INDIRECT($CN57) - INDIRECT(CV$49))^2))</f>
        <v>1.3960372939665415</v>
      </c>
      <c r="CW57" s="81">
        <f t="array" aca="1" ref="CW57" ca="1">SQRT(SUM( (INDIRECT($CN57) - INDIRECT(CW$49))^2))</f>
        <v>6.9506610329921577</v>
      </c>
      <c r="CX57" s="81">
        <f t="array" aca="1" ref="CX57" ca="1">SQRT(SUM( (INDIRECT($CN57) - INDIRECT(CX$49))^2))</f>
        <v>3.7030092190381052</v>
      </c>
      <c r="CY57" s="81">
        <f t="array" aca="1" ref="CY57" ca="1">SQRT(SUM( (INDIRECT($CN57) - INDIRECT(CY$49))^2))</f>
        <v>5.9736429836838925</v>
      </c>
      <c r="CZ57" s="81">
        <f t="array" aca="1" ref="CZ57" ca="1">SQRT(SUM( (INDIRECT($CN57) - INDIRECT(CZ$49))^2))</f>
        <v>598.25675411635143</v>
      </c>
      <c r="DA57" s="81">
        <f t="array" aca="1" ref="DA57" ca="1">SQRT(SUM( (INDIRECT($CN57) - INDIRECT(DA$49))^2))</f>
        <v>3.8822268886952838</v>
      </c>
      <c r="DD57" s="82" t="str">
        <f ca="1">IFERROR(INDEX($CP$49:$DA$49,MATCH(IF(MIN(CP57:DA57)&lt;=$DF$46,MIN(CP57:DA57),ERROR),CP57:DA57,0)),"ERROR")</f>
        <v>Refe7</v>
      </c>
      <c r="DE57" s="7"/>
      <c r="DF57" s="7">
        <f ca="1">IFERROR(IF(DD57="Refe1", Sheet2!$D$3, IF(DD57="Refe2", Sheet2!$K$3, IF(DD57="Refe3",Sheet2!$R$3,IF(DD57="Refe4",Sheet2!$Y$3,IF(DD57="Refe5", Sheet2!$AH$3, IF(DD57="Refe6",Sheet2!$AM$3, IF(DD57="Refe7",Sheet2!$AT$3,IF(DD57="Refe8", Sheet2!$BA$3, IF(DD57="Refe9", Sheet2!$BH$3, IF(DD57="Refe10", Sheet2!$BO$3, IF(DD57="Refe11",Sheet2!$BV$3, IF(DD57="Refe12",Sheet2!$CC$3,Probleme)))))))))))),"ERROR")</f>
        <v>6</v>
      </c>
      <c r="DG57" s="7"/>
      <c r="DH57" s="7"/>
    </row>
    <row r="58" spans="1:112" x14ac:dyDescent="0.25">
      <c r="C58" s="119"/>
      <c r="D58" s="119"/>
      <c r="F58" s="84"/>
      <c r="G58" s="84"/>
      <c r="H58" s="84"/>
      <c r="T58" s="7"/>
      <c r="U58" s="7"/>
      <c r="V58" s="7"/>
      <c r="W58" s="7"/>
      <c r="X58" s="7"/>
      <c r="Y58" s="7"/>
      <c r="Z58" s="7"/>
      <c r="AA58" s="7"/>
      <c r="AB58" s="7"/>
      <c r="AC58" s="7"/>
      <c r="AD58" s="2"/>
      <c r="AE58" s="2"/>
      <c r="AF58" s="2"/>
      <c r="AG58" s="2"/>
      <c r="AH58" s="2"/>
      <c r="AI58" s="2"/>
      <c r="CN58" s="119" t="s">
        <v>62</v>
      </c>
      <c r="CO58" s="119"/>
      <c r="CP58" s="81">
        <f t="array" aca="1" ref="CP58" ca="1">SQRT(SUM( (INDIRECT($CN58) - INDIRECT(CP$49))^2))</f>
        <v>1.6960375024970831</v>
      </c>
      <c r="CQ58" s="81">
        <f t="array" aca="1" ref="CQ58" ca="1">SQRT(SUM( (INDIRECT($CN58) - INDIRECT(CQ$49))^2))</f>
        <v>1</v>
      </c>
      <c r="CR58" s="81">
        <f t="array" aca="1" ref="CR58" ca="1">SQRT(SUM( (INDIRECT($CN58) - INDIRECT(CR$49))^2))</f>
        <v>1.5099668870541503</v>
      </c>
      <c r="CS58" s="81">
        <f t="array" aca="1" ref="CS58" ca="1">SQRT(SUM( (INDIRECT($CN58) - INDIRECT(CS$49))^2))</f>
        <v>1.5756231021408638</v>
      </c>
      <c r="CT58" s="81">
        <f t="array" aca="1" ref="CT58" ca="1">SQRT(SUM( (INDIRECT($CN58) - INDIRECT(CT$49))^2))</f>
        <v>2.8386592101045016</v>
      </c>
      <c r="CU58" s="81">
        <f t="array" aca="1" ref="CU58" ca="1">SQRT(SUM( (INDIRECT($CN58) - INDIRECT(CU$49))^2))</f>
        <v>1.5099668870541503</v>
      </c>
      <c r="CV58" s="81">
        <f t="array" aca="1" ref="CV58" ca="1">SQRT(SUM( (INDIRECT($CN58) - INDIRECT(CV$49))^2))</f>
        <v>2.6356243615193491</v>
      </c>
      <c r="CW58" s="81">
        <f t="array" aca="1" ref="CW58" ca="1">SQRT(SUM( (INDIRECT($CN58) - INDIRECT(CW$49))^2))</f>
        <v>3.3860279362676846</v>
      </c>
      <c r="CX58" s="81">
        <f t="array" aca="1" ref="CX58" ca="1">SQRT(SUM( (INDIRECT($CN58) - INDIRECT(CX$49))^2))</f>
        <v>1.3170777796132698</v>
      </c>
      <c r="CY58" s="81">
        <f t="array" aca="1" ref="CY58" ca="1">SQRT(SUM( (INDIRECT($CN58) - INDIRECT(CY$49))^2))</f>
        <v>2.6356243615193513</v>
      </c>
      <c r="CZ58" s="81">
        <f t="array" aca="1" ref="CZ58" ca="1">SQRT(SUM( (INDIRECT($CN58) - INDIRECT(CZ$49))^2))</f>
        <v>598.1686005045982</v>
      </c>
      <c r="DA58" s="81">
        <f t="array" aca="1" ref="DA58" ca="1">SQRT(SUM( (INDIRECT($CN58) - INDIRECT(DA$49))^2))</f>
        <v>1.1366269353325462</v>
      </c>
      <c r="DD58" s="82" t="str">
        <f ca="1">IFERROR(INDEX($CP$49:$DA$49,MATCH(IF(MIN(CP58:DA58)&lt;=$DF$46,MIN(CP58:DA58),ERROR),CP58:DA58,0)),"ERROR")</f>
        <v>Refe2</v>
      </c>
      <c r="DE58" s="7"/>
      <c r="DF58" s="7">
        <f ca="1">IFERROR(IF(DD58="Refe1", Sheet2!$D$3, IF(DD58="Refe2", Sheet2!$K$3, IF(DD58="Refe3",Sheet2!$R$3,IF(DD58="Refe4",Sheet2!$Y$3,IF(DD58="Refe5", Sheet2!$AH$3, IF(DD58="Refe6",Sheet2!$AM$3, IF(DD58="Refe7",Sheet2!$AT$3,IF(DD58="Refe8", Sheet2!$BA$3, IF(DD58="Refe9", Sheet2!$BH$3, IF(DD58="Refe10", Sheet2!$BO$3, IF(DD58="Refe11",Sheet2!$BV$3, IF(DD58="Refe12",Sheet2!$CC$3,Probleme)))))))))))),"ERROR")</f>
        <v>1</v>
      </c>
      <c r="DG58" s="7"/>
      <c r="DH58" s="7"/>
    </row>
    <row r="59" spans="1:112" x14ac:dyDescent="0.25">
      <c r="T59" s="7"/>
      <c r="U59" s="7"/>
      <c r="V59" s="7"/>
      <c r="W59" s="7"/>
      <c r="X59" s="7"/>
      <c r="Y59" s="7"/>
      <c r="Z59" s="7"/>
      <c r="AA59" s="7"/>
      <c r="AB59" s="7"/>
      <c r="AC59" s="7"/>
      <c r="AD59" s="2"/>
      <c r="AE59" s="2"/>
      <c r="AF59" s="2"/>
      <c r="AG59" s="2"/>
      <c r="AH59" s="2"/>
      <c r="AI59" s="2"/>
      <c r="CN59" s="119" t="s">
        <v>63</v>
      </c>
      <c r="CO59" s="119"/>
      <c r="CP59" s="81">
        <f t="array" aca="1" ref="CP59" ca="1">SQRT(SUM( (INDIRECT($CN59) - INDIRECT(CP$49))^2))</f>
        <v>1.5859641163460134</v>
      </c>
      <c r="CQ59" s="81">
        <f t="array" aca="1" ref="CQ59" ca="1">SQRT(SUM( (INDIRECT($CN59) - INDIRECT(CQ$49))^2))</f>
        <v>2.1560558739104168</v>
      </c>
      <c r="CR59" s="81">
        <f t="array" aca="1" ref="CR59" ca="1">SQRT(SUM( (INDIRECT($CN59) - INDIRECT(CR$49))^2))</f>
        <v>1.6183948626412565</v>
      </c>
      <c r="CS59" s="81">
        <f t="array" aca="1" ref="CS59" ca="1">SQRT(SUM( (INDIRECT($CN59) - INDIRECT(CS$49))^2))</f>
        <v>2.5331541783759643</v>
      </c>
      <c r="CT59" s="81">
        <f t="array" aca="1" ref="CT59" ca="1">SQRT(SUM( (INDIRECT($CN59) - INDIRECT(CT$49))^2))</f>
        <v>3.0260745659427881</v>
      </c>
      <c r="CU59" s="81">
        <f t="array" aca="1" ref="CU59" ca="1">SQRT(SUM( (INDIRECT($CN59) - INDIRECT(CU$49))^2))</f>
        <v>1.6183948626412565</v>
      </c>
      <c r="CV59" s="81">
        <f t="array" aca="1" ref="CV59" ca="1">SQRT(SUM( (INDIRECT($CN59) - INDIRECT(CV$49))^2))</f>
        <v>2.6068286613087652</v>
      </c>
      <c r="CW59" s="81">
        <f t="array" aca="1" ref="CW59" ca="1">SQRT(SUM( (INDIRECT($CN59) - INDIRECT(CW$49))^2))</f>
        <v>3.7331396385687539</v>
      </c>
      <c r="CX59" s="81">
        <f t="array" aca="1" ref="CX59" ca="1">SQRT(SUM( (INDIRECT($CN59) - INDIRECT(CX$49))^2))</f>
        <v>1.4975465965954555</v>
      </c>
      <c r="CY59" s="81">
        <f t="array" aca="1" ref="CY59" ca="1">SQRT(SUM( (INDIRECT($CN59) - INDIRECT(CY$49))^2))</f>
        <v>2.8712657105416017</v>
      </c>
      <c r="CZ59" s="81">
        <f t="array" aca="1" ref="CZ59" ca="1">SQRT(SUM( (INDIRECT($CN59) - INDIRECT(CZ$49))^2))</f>
        <v>599.4828663854064</v>
      </c>
      <c r="DA59" s="81">
        <f t="array" aca="1" ref="DA59" ca="1">SQRT(SUM( (INDIRECT($CN59) - INDIRECT(DA$49))^2))</f>
        <v>0.57713214937600232</v>
      </c>
      <c r="DD59" s="82" t="str">
        <f ca="1">IFERROR(INDEX($CP$49:$DA$49,MATCH(IF(MIN(CP59:DA59)&lt;=$DF$46,MIN(CP59:DA59),ERROR),CP59:DA59,0)),"ERROR")</f>
        <v>Refe12</v>
      </c>
      <c r="DE59" s="7"/>
      <c r="DF59" s="7" t="str">
        <f ca="1">IFERROR(IF(DD59="Refe1", Sheet2!$D$3, IF(DD59="Refe2", Sheet2!$K$3, IF(DD59="Refe3",Sheet2!$R$3,IF(DD59="Refe4",Sheet2!$Y$3,IF(DD59="Refe5", Sheet2!$AH$3, IF(DD59="Refe6",Sheet2!$AM$3, IF(DD59="Refe7",Sheet2!$AT$3,IF(DD59="Refe8", Sheet2!$BA$3, IF(DD59="Refe9", Sheet2!$BH$3, IF(DD59="Refe10", Sheet2!$BO$3, IF(DD59="Refe11",Sheet2!$BV$3, IF(DD59="Refe12",Sheet2!$CC$3,Probleme)))))))))))),"ERROR")</f>
        <v>E</v>
      </c>
      <c r="DG59" s="7"/>
      <c r="DH59" s="7"/>
    </row>
    <row r="60" spans="1:112" x14ac:dyDescent="0.25">
      <c r="A60" s="171"/>
      <c r="B60" s="171"/>
      <c r="C60" s="171"/>
      <c r="D60" s="171"/>
      <c r="F60" s="172">
        <f ca="1">IF(CP116=1,1,0)</f>
        <v>1</v>
      </c>
      <c r="G60" s="172"/>
      <c r="H60" s="172"/>
      <c r="I60" s="172"/>
      <c r="J60" s="172"/>
      <c r="K60" s="172"/>
      <c r="M60" s="172">
        <f ca="1">IF(CP117=1,1,0)</f>
        <v>0</v>
      </c>
      <c r="N60" s="172"/>
      <c r="O60" s="172"/>
      <c r="P60" s="172"/>
      <c r="Q60" s="172"/>
      <c r="R60" s="172"/>
      <c r="T60" s="172">
        <f ca="1">IF(CP118=1,1,0)</f>
        <v>1</v>
      </c>
      <c r="U60" s="172"/>
      <c r="V60" s="172"/>
      <c r="W60" s="172"/>
      <c r="X60" s="172"/>
      <c r="Y60" s="172"/>
      <c r="Z60" s="7"/>
      <c r="AA60" s="172">
        <f ca="1">IF(CP119=1,1,0)</f>
        <v>0</v>
      </c>
      <c r="AB60" s="172"/>
      <c r="AC60" s="172"/>
      <c r="AD60" s="172"/>
      <c r="AE60" s="172"/>
      <c r="AF60" s="172"/>
      <c r="AG60" s="50"/>
      <c r="AH60" s="172">
        <f ca="1">IF(CP120=1,1,0)</f>
        <v>0</v>
      </c>
      <c r="AI60" s="172"/>
      <c r="AJ60" s="172"/>
      <c r="AK60" s="172"/>
      <c r="AL60" s="172"/>
      <c r="AM60" s="172"/>
      <c r="AO60" s="172">
        <f ca="1">IF(CP121=1,1,0)</f>
        <v>1</v>
      </c>
      <c r="AP60" s="172"/>
      <c r="AQ60" s="172"/>
      <c r="AR60" s="172"/>
      <c r="AS60" s="172"/>
      <c r="AT60" s="172"/>
      <c r="AV60" s="172">
        <f ca="1">IF(CP122=1,1,0)</f>
        <v>0</v>
      </c>
      <c r="AW60" s="172"/>
      <c r="AX60" s="172"/>
      <c r="AY60" s="172"/>
      <c r="AZ60" s="172"/>
      <c r="BA60" s="172"/>
      <c r="BC60" s="172">
        <f ca="1">IF(CP123=1,1,0)</f>
        <v>0</v>
      </c>
      <c r="BD60" s="172"/>
      <c r="BE60" s="172"/>
      <c r="BF60" s="172"/>
      <c r="BG60" s="172"/>
      <c r="BH60" s="172"/>
      <c r="BJ60" s="172">
        <f ca="1">IF(CP124=1,1,0)</f>
        <v>1</v>
      </c>
      <c r="BK60" s="172"/>
      <c r="BL60" s="172"/>
      <c r="BM60" s="172"/>
      <c r="BN60" s="172"/>
      <c r="BO60" s="172"/>
      <c r="BQ60" s="172">
        <f ca="1">IF(CP125=1,1,0)</f>
        <v>0</v>
      </c>
      <c r="BR60" s="172"/>
      <c r="BS60" s="172"/>
      <c r="BT60" s="172"/>
      <c r="BU60" s="172"/>
      <c r="BV60" s="172"/>
      <c r="BX60" s="172">
        <f ca="1">IF(CP126=1,1,0)</f>
        <v>0</v>
      </c>
      <c r="BY60" s="172"/>
      <c r="BZ60" s="172"/>
      <c r="CA60" s="172"/>
      <c r="CB60" s="172"/>
      <c r="CC60" s="172"/>
      <c r="CE60" s="172">
        <f ca="1">IF(CP127=1,1,0)</f>
        <v>0</v>
      </c>
      <c r="CF60" s="172"/>
      <c r="CG60" s="172"/>
      <c r="CH60" s="172"/>
      <c r="CI60" s="172"/>
      <c r="CJ60" s="172"/>
      <c r="DE60" s="7"/>
      <c r="DF60" s="7"/>
      <c r="DG60" s="7"/>
      <c r="DH60" s="7"/>
    </row>
    <row r="61" spans="1:112" x14ac:dyDescent="0.25">
      <c r="A61" s="171"/>
      <c r="B61" s="171"/>
      <c r="C61" s="171"/>
      <c r="D61" s="171"/>
      <c r="F61" s="172"/>
      <c r="G61" s="172"/>
      <c r="H61" s="172"/>
      <c r="I61" s="172"/>
      <c r="J61" s="172"/>
      <c r="K61" s="172"/>
      <c r="M61" s="172"/>
      <c r="N61" s="172"/>
      <c r="O61" s="172"/>
      <c r="P61" s="172"/>
      <c r="Q61" s="172"/>
      <c r="R61" s="172"/>
      <c r="T61" s="172"/>
      <c r="U61" s="172"/>
      <c r="V61" s="172"/>
      <c r="W61" s="172"/>
      <c r="X61" s="172"/>
      <c r="Y61" s="172"/>
      <c r="Z61" s="7"/>
      <c r="AA61" s="172"/>
      <c r="AB61" s="172"/>
      <c r="AC61" s="172"/>
      <c r="AD61" s="172"/>
      <c r="AE61" s="172"/>
      <c r="AF61" s="172"/>
      <c r="AG61" s="50"/>
      <c r="AH61" s="172"/>
      <c r="AI61" s="172"/>
      <c r="AJ61" s="172"/>
      <c r="AK61" s="172"/>
      <c r="AL61" s="172"/>
      <c r="AM61" s="172"/>
      <c r="AO61" s="172"/>
      <c r="AP61" s="172"/>
      <c r="AQ61" s="172"/>
      <c r="AR61" s="172"/>
      <c r="AS61" s="172"/>
      <c r="AT61" s="172"/>
      <c r="AV61" s="172"/>
      <c r="AW61" s="172"/>
      <c r="AX61" s="172"/>
      <c r="AY61" s="172"/>
      <c r="AZ61" s="172"/>
      <c r="BA61" s="172"/>
      <c r="BC61" s="172"/>
      <c r="BD61" s="172"/>
      <c r="BE61" s="172"/>
      <c r="BF61" s="172"/>
      <c r="BG61" s="172"/>
      <c r="BH61" s="172"/>
      <c r="BJ61" s="172"/>
      <c r="BK61" s="172"/>
      <c r="BL61" s="172"/>
      <c r="BM61" s="172"/>
      <c r="BN61" s="172"/>
      <c r="BO61" s="172"/>
      <c r="BQ61" s="172"/>
      <c r="BR61" s="172"/>
      <c r="BS61" s="172"/>
      <c r="BT61" s="172"/>
      <c r="BU61" s="172"/>
      <c r="BV61" s="172"/>
      <c r="BX61" s="172"/>
      <c r="BY61" s="172"/>
      <c r="BZ61" s="172"/>
      <c r="CA61" s="172"/>
      <c r="CB61" s="172"/>
      <c r="CC61" s="172"/>
      <c r="CE61" s="172"/>
      <c r="CF61" s="172"/>
      <c r="CG61" s="172"/>
      <c r="CH61" s="172"/>
      <c r="CI61" s="172"/>
      <c r="CJ61" s="172"/>
    </row>
    <row r="62" spans="1:112" x14ac:dyDescent="0.25">
      <c r="A62" s="171"/>
      <c r="B62" s="171"/>
      <c r="C62" s="171"/>
      <c r="D62" s="171"/>
      <c r="F62" s="172"/>
      <c r="G62" s="172"/>
      <c r="H62" s="172"/>
      <c r="I62" s="172"/>
      <c r="J62" s="172"/>
      <c r="K62" s="172"/>
      <c r="M62" s="172"/>
      <c r="N62" s="172"/>
      <c r="O62" s="172"/>
      <c r="P62" s="172"/>
      <c r="Q62" s="172"/>
      <c r="R62" s="172"/>
      <c r="T62" s="172"/>
      <c r="U62" s="172"/>
      <c r="V62" s="172"/>
      <c r="W62" s="172"/>
      <c r="X62" s="172"/>
      <c r="Y62" s="172"/>
      <c r="Z62" s="7"/>
      <c r="AA62" s="172"/>
      <c r="AB62" s="172"/>
      <c r="AC62" s="172"/>
      <c r="AD62" s="172"/>
      <c r="AE62" s="172"/>
      <c r="AF62" s="172"/>
      <c r="AG62" s="50"/>
      <c r="AH62" s="172"/>
      <c r="AI62" s="172"/>
      <c r="AJ62" s="172"/>
      <c r="AK62" s="172"/>
      <c r="AL62" s="172"/>
      <c r="AM62" s="172"/>
      <c r="AO62" s="172"/>
      <c r="AP62" s="172"/>
      <c r="AQ62" s="172"/>
      <c r="AR62" s="172"/>
      <c r="AS62" s="172"/>
      <c r="AT62" s="172"/>
      <c r="AV62" s="172"/>
      <c r="AW62" s="172"/>
      <c r="AX62" s="172"/>
      <c r="AY62" s="172"/>
      <c r="AZ62" s="172"/>
      <c r="BA62" s="172"/>
      <c r="BC62" s="172"/>
      <c r="BD62" s="172"/>
      <c r="BE62" s="172"/>
      <c r="BF62" s="172"/>
      <c r="BG62" s="172"/>
      <c r="BH62" s="172"/>
      <c r="BJ62" s="172"/>
      <c r="BK62" s="172"/>
      <c r="BL62" s="172"/>
      <c r="BM62" s="172"/>
      <c r="BN62" s="172"/>
      <c r="BO62" s="172"/>
      <c r="BQ62" s="172"/>
      <c r="BR62" s="172"/>
      <c r="BS62" s="172"/>
      <c r="BT62" s="172"/>
      <c r="BU62" s="172"/>
      <c r="BV62" s="172"/>
      <c r="BX62" s="172"/>
      <c r="BY62" s="172"/>
      <c r="BZ62" s="172"/>
      <c r="CA62" s="172"/>
      <c r="CB62" s="172"/>
      <c r="CC62" s="172"/>
      <c r="CE62" s="172"/>
      <c r="CF62" s="172"/>
      <c r="CG62" s="172"/>
      <c r="CH62" s="172"/>
      <c r="CI62" s="172"/>
      <c r="CJ62" s="172"/>
      <c r="CM62" t="s">
        <v>77</v>
      </c>
    </row>
    <row r="63" spans="1:112" x14ac:dyDescent="0.25">
      <c r="A63" s="171"/>
      <c r="B63" s="171"/>
      <c r="C63" s="171"/>
      <c r="D63" s="171"/>
      <c r="F63" s="172"/>
      <c r="G63" s="172"/>
      <c r="H63" s="172"/>
      <c r="I63" s="172"/>
      <c r="J63" s="172"/>
      <c r="K63" s="172"/>
      <c r="M63" s="172"/>
      <c r="N63" s="172"/>
      <c r="O63" s="172"/>
      <c r="P63" s="172"/>
      <c r="Q63" s="172"/>
      <c r="R63" s="172"/>
      <c r="T63" s="172"/>
      <c r="U63" s="172"/>
      <c r="V63" s="172"/>
      <c r="W63" s="172"/>
      <c r="X63" s="172"/>
      <c r="Y63" s="172"/>
      <c r="Z63" s="7"/>
      <c r="AA63" s="172"/>
      <c r="AB63" s="172"/>
      <c r="AC63" s="172"/>
      <c r="AD63" s="172"/>
      <c r="AE63" s="172"/>
      <c r="AF63" s="172"/>
      <c r="AG63" s="50"/>
      <c r="AH63" s="172"/>
      <c r="AI63" s="172"/>
      <c r="AJ63" s="172"/>
      <c r="AK63" s="172"/>
      <c r="AL63" s="172"/>
      <c r="AM63" s="172"/>
      <c r="AO63" s="172"/>
      <c r="AP63" s="172"/>
      <c r="AQ63" s="172"/>
      <c r="AR63" s="172"/>
      <c r="AS63" s="172"/>
      <c r="AT63" s="172"/>
      <c r="AV63" s="172"/>
      <c r="AW63" s="172"/>
      <c r="AX63" s="172"/>
      <c r="AY63" s="172"/>
      <c r="AZ63" s="172"/>
      <c r="BA63" s="172"/>
      <c r="BC63" s="172"/>
      <c r="BD63" s="172"/>
      <c r="BE63" s="172"/>
      <c r="BF63" s="172"/>
      <c r="BG63" s="172"/>
      <c r="BH63" s="172"/>
      <c r="BJ63" s="172"/>
      <c r="BK63" s="172"/>
      <c r="BL63" s="172"/>
      <c r="BM63" s="172"/>
      <c r="BN63" s="172"/>
      <c r="BO63" s="172"/>
      <c r="BQ63" s="172"/>
      <c r="BR63" s="172"/>
      <c r="BS63" s="172"/>
      <c r="BT63" s="172"/>
      <c r="BU63" s="172"/>
      <c r="BV63" s="172"/>
      <c r="BX63" s="172"/>
      <c r="BY63" s="172"/>
      <c r="BZ63" s="172"/>
      <c r="CA63" s="172"/>
      <c r="CB63" s="172"/>
      <c r="CC63" s="172"/>
      <c r="CE63" s="172"/>
      <c r="CF63" s="172"/>
      <c r="CG63" s="172"/>
      <c r="CH63" s="172"/>
      <c r="CI63" s="172"/>
      <c r="CJ63" s="172"/>
    </row>
    <row r="64" spans="1:112" x14ac:dyDescent="0.25">
      <c r="A64" s="171"/>
      <c r="B64" s="171"/>
      <c r="C64" s="171"/>
      <c r="D64" s="171"/>
      <c r="F64" s="172"/>
      <c r="G64" s="172"/>
      <c r="H64" s="172"/>
      <c r="I64" s="172"/>
      <c r="J64" s="172"/>
      <c r="K64" s="172"/>
      <c r="M64" s="172"/>
      <c r="N64" s="172"/>
      <c r="O64" s="172"/>
      <c r="P64" s="172"/>
      <c r="Q64" s="172"/>
      <c r="R64" s="172"/>
      <c r="T64" s="172"/>
      <c r="U64" s="172"/>
      <c r="V64" s="172"/>
      <c r="W64" s="172"/>
      <c r="X64" s="172"/>
      <c r="Y64" s="172"/>
      <c r="Z64" s="7"/>
      <c r="AA64" s="172"/>
      <c r="AB64" s="172"/>
      <c r="AC64" s="172"/>
      <c r="AD64" s="172"/>
      <c r="AE64" s="172"/>
      <c r="AF64" s="172"/>
      <c r="AG64" s="50"/>
      <c r="AH64" s="172"/>
      <c r="AI64" s="172"/>
      <c r="AJ64" s="172"/>
      <c r="AK64" s="172"/>
      <c r="AL64" s="172"/>
      <c r="AM64" s="172"/>
      <c r="AO64" s="172"/>
      <c r="AP64" s="172"/>
      <c r="AQ64" s="172"/>
      <c r="AR64" s="172"/>
      <c r="AS64" s="172"/>
      <c r="AT64" s="172"/>
      <c r="AV64" s="172"/>
      <c r="AW64" s="172"/>
      <c r="AX64" s="172"/>
      <c r="AY64" s="172"/>
      <c r="AZ64" s="172"/>
      <c r="BA64" s="172"/>
      <c r="BC64" s="172"/>
      <c r="BD64" s="172"/>
      <c r="BE64" s="172"/>
      <c r="BF64" s="172"/>
      <c r="BG64" s="172"/>
      <c r="BH64" s="172"/>
      <c r="BJ64" s="172"/>
      <c r="BK64" s="172"/>
      <c r="BL64" s="172"/>
      <c r="BM64" s="172"/>
      <c r="BN64" s="172"/>
      <c r="BO64" s="172"/>
      <c r="BQ64" s="172"/>
      <c r="BR64" s="172"/>
      <c r="BS64" s="172"/>
      <c r="BT64" s="172"/>
      <c r="BU64" s="172"/>
      <c r="BV64" s="172"/>
      <c r="BX64" s="172"/>
      <c r="BY64" s="172"/>
      <c r="BZ64" s="172"/>
      <c r="CA64" s="172"/>
      <c r="CB64" s="172"/>
      <c r="CC64" s="172"/>
      <c r="CE64" s="172"/>
      <c r="CF64" s="172"/>
      <c r="CG64" s="172"/>
      <c r="CH64" s="172"/>
      <c r="CI64" s="172"/>
      <c r="CJ64" s="172"/>
      <c r="CO64" s="82" t="s">
        <v>53</v>
      </c>
      <c r="CP64" s="82" t="s">
        <v>65</v>
      </c>
      <c r="CQ64" s="82" t="s">
        <v>66</v>
      </c>
      <c r="CR64" s="82" t="s">
        <v>67</v>
      </c>
      <c r="CS64" s="82" t="s">
        <v>68</v>
      </c>
      <c r="CT64" s="82" t="s">
        <v>69</v>
      </c>
      <c r="CU64" s="82" t="s">
        <v>70</v>
      </c>
      <c r="CV64" s="82" t="s">
        <v>71</v>
      </c>
      <c r="CW64" s="82" t="s">
        <v>72</v>
      </c>
      <c r="CX64" s="82" t="s">
        <v>73</v>
      </c>
      <c r="CY64" s="82" t="s">
        <v>74</v>
      </c>
      <c r="CZ64" s="82" t="s">
        <v>75</v>
      </c>
      <c r="DA64" s="82" t="s">
        <v>76</v>
      </c>
      <c r="DD64" s="119" t="s">
        <v>64</v>
      </c>
      <c r="DE64" s="119"/>
    </row>
    <row r="65" spans="1:111" x14ac:dyDescent="0.25">
      <c r="A65" s="171"/>
      <c r="B65" s="171"/>
      <c r="C65" s="171"/>
      <c r="D65" s="171"/>
      <c r="F65" s="172"/>
      <c r="G65" s="172"/>
      <c r="H65" s="172"/>
      <c r="I65" s="172"/>
      <c r="J65" s="172"/>
      <c r="K65" s="172"/>
      <c r="M65" s="172"/>
      <c r="N65" s="172"/>
      <c r="O65" s="172"/>
      <c r="P65" s="172"/>
      <c r="Q65" s="172"/>
      <c r="R65" s="172"/>
      <c r="T65" s="172"/>
      <c r="U65" s="172"/>
      <c r="V65" s="172"/>
      <c r="W65" s="172"/>
      <c r="X65" s="172"/>
      <c r="Y65" s="172"/>
      <c r="Z65" s="7"/>
      <c r="AA65" s="172"/>
      <c r="AB65" s="172"/>
      <c r="AC65" s="172"/>
      <c r="AD65" s="172"/>
      <c r="AE65" s="172"/>
      <c r="AF65" s="172"/>
      <c r="AG65" s="50"/>
      <c r="AH65" s="172"/>
      <c r="AI65" s="172"/>
      <c r="AJ65" s="172"/>
      <c r="AK65" s="172"/>
      <c r="AL65" s="172"/>
      <c r="AM65" s="172"/>
      <c r="AO65" s="172"/>
      <c r="AP65" s="172"/>
      <c r="AQ65" s="172"/>
      <c r="AR65" s="172"/>
      <c r="AS65" s="172"/>
      <c r="AT65" s="172"/>
      <c r="AV65" s="172"/>
      <c r="AW65" s="172"/>
      <c r="AX65" s="172"/>
      <c r="AY65" s="172"/>
      <c r="AZ65" s="172"/>
      <c r="BA65" s="172"/>
      <c r="BC65" s="172"/>
      <c r="BD65" s="172"/>
      <c r="BE65" s="172"/>
      <c r="BF65" s="172"/>
      <c r="BG65" s="172"/>
      <c r="BH65" s="172"/>
      <c r="BJ65" s="172"/>
      <c r="BK65" s="172"/>
      <c r="BL65" s="172"/>
      <c r="BM65" s="172"/>
      <c r="BN65" s="172"/>
      <c r="BO65" s="172"/>
      <c r="BQ65" s="172"/>
      <c r="BR65" s="172"/>
      <c r="BS65" s="172"/>
      <c r="BT65" s="172"/>
      <c r="BU65" s="172"/>
      <c r="BV65" s="172"/>
      <c r="BX65" s="172"/>
      <c r="BY65" s="172"/>
      <c r="BZ65" s="172"/>
      <c r="CA65" s="172"/>
      <c r="CB65" s="172"/>
      <c r="CC65" s="172"/>
      <c r="CE65" s="172"/>
      <c r="CF65" s="172"/>
      <c r="CG65" s="172"/>
      <c r="CH65" s="172"/>
      <c r="CI65" s="172"/>
      <c r="CJ65" s="172"/>
      <c r="CN65" s="119" t="s">
        <v>65</v>
      </c>
      <c r="CO65" s="119"/>
      <c r="CP65" t="s">
        <v>78</v>
      </c>
      <c r="CQ65" s="82">
        <f t="array" aca="1" ref="CQ65" ca="1">SQRT(SUM( (INDIRECT($CN65) - INDIRECT(CQ$64))^2))</f>
        <v>2.3778816176702997</v>
      </c>
      <c r="CR65" s="82">
        <f t="array" aca="1" ref="CR65" ca="1">SQRT(SUM( (INDIRECT($CN65) - INDIRECT(CR$64))^2))</f>
        <v>0.91947381624787561</v>
      </c>
      <c r="CS65" s="82">
        <f t="array" aca="1" ref="CS65" ca="1">SQRT(SUM( (INDIRECT($CN65) - INDIRECT(CS$64))^2))</f>
        <v>1.4044446244725617</v>
      </c>
      <c r="CT65" s="82">
        <f t="array" aca="1" ref="CT65" ca="1">SQRT(SUM( (INDIRECT($CN65) - INDIRECT(CT$64))^2))</f>
        <v>3.1238763411924184</v>
      </c>
      <c r="CU65" s="82">
        <f t="array" aca="1" ref="CU65" ca="1">SQRT(SUM( (INDIRECT($CN65) - INDIRECT(CU$64))^2))</f>
        <v>0.91947381624787561</v>
      </c>
      <c r="CV65" s="82">
        <f t="array" aca="1" ref="CV65" ca="1">SQRT(SUM( (INDIRECT($CN65) - INDIRECT(CV$64))^2))</f>
        <v>2.4131015280983972</v>
      </c>
      <c r="CW65" s="82">
        <f t="array" aca="1" ref="CW65" ca="1">SQRT(SUM( (INDIRECT($CN65) - INDIRECT(CW$64))^2))</f>
        <v>3.5688639822017314</v>
      </c>
      <c r="CX65" s="82">
        <f t="array" aca="1" ref="CX65" ca="1">SQRT(SUM( (INDIRECT($CN65) - INDIRECT(CX$64))^2))</f>
        <v>0.62371056204407938</v>
      </c>
      <c r="CY65" s="82">
        <f t="array" aca="1" ref="CY65" ca="1">SQRT(SUM( (INDIRECT($CN65) - INDIRECT(CY$64))^2))</f>
        <v>2.4131015280983994</v>
      </c>
      <c r="CZ65" s="82">
        <f t="array" aca="1" ref="CZ65" ca="1">SQRT(SUM( (INDIRECT($CN65) - INDIRECT(CZ$64))^2))</f>
        <v>598.1753133436946</v>
      </c>
      <c r="DA65" s="82">
        <f t="array" aca="1" ref="DA65" ca="1">SQRT(SUM( (INDIRECT($CN65) - INDIRECT(DA$64))^2))</f>
        <v>1.5277094287741473</v>
      </c>
      <c r="DD65" s="119" t="s">
        <v>65</v>
      </c>
      <c r="DE65" s="119"/>
      <c r="DF65">
        <f ca="1">MIN($CP65:$DA65)</f>
        <v>0.62371056204407938</v>
      </c>
      <c r="DG65" t="str">
        <f ca="1">INDEX($CP$64:$DA$64,MATCH(MIN(CP65:DA65),CP65:DA65,0))</f>
        <v>Refe9</v>
      </c>
    </row>
    <row r="66" spans="1:111" x14ac:dyDescent="0.25">
      <c r="A66" s="171"/>
      <c r="B66" s="171"/>
      <c r="C66" s="171"/>
      <c r="D66" s="171"/>
      <c r="F66" s="172"/>
      <c r="G66" s="172"/>
      <c r="H66" s="172"/>
      <c r="I66" s="172"/>
      <c r="J66" s="172"/>
      <c r="K66" s="172"/>
      <c r="M66" s="172"/>
      <c r="N66" s="172"/>
      <c r="O66" s="172"/>
      <c r="P66" s="172"/>
      <c r="Q66" s="172"/>
      <c r="R66" s="172"/>
      <c r="T66" s="172"/>
      <c r="U66" s="172"/>
      <c r="V66" s="172"/>
      <c r="W66" s="172"/>
      <c r="X66" s="172"/>
      <c r="Y66" s="172"/>
      <c r="Z66" s="7"/>
      <c r="AA66" s="172"/>
      <c r="AB66" s="172"/>
      <c r="AC66" s="172"/>
      <c r="AD66" s="172"/>
      <c r="AE66" s="172"/>
      <c r="AF66" s="172"/>
      <c r="AG66" s="50"/>
      <c r="AH66" s="172"/>
      <c r="AI66" s="172"/>
      <c r="AJ66" s="172"/>
      <c r="AK66" s="172"/>
      <c r="AL66" s="172"/>
      <c r="AM66" s="172"/>
      <c r="AO66" s="172"/>
      <c r="AP66" s="172"/>
      <c r="AQ66" s="172"/>
      <c r="AR66" s="172"/>
      <c r="AS66" s="172"/>
      <c r="AT66" s="172"/>
      <c r="AV66" s="172"/>
      <c r="AW66" s="172"/>
      <c r="AX66" s="172"/>
      <c r="AY66" s="172"/>
      <c r="AZ66" s="172"/>
      <c r="BA66" s="172"/>
      <c r="BC66" s="172"/>
      <c r="BD66" s="172"/>
      <c r="BE66" s="172"/>
      <c r="BF66" s="172"/>
      <c r="BG66" s="172"/>
      <c r="BH66" s="172"/>
      <c r="BJ66" s="172"/>
      <c r="BK66" s="172"/>
      <c r="BL66" s="172"/>
      <c r="BM66" s="172"/>
      <c r="BN66" s="172"/>
      <c r="BO66" s="172"/>
      <c r="BQ66" s="172"/>
      <c r="BR66" s="172"/>
      <c r="BS66" s="172"/>
      <c r="BT66" s="172"/>
      <c r="BU66" s="172"/>
      <c r="BV66" s="172"/>
      <c r="BX66" s="172"/>
      <c r="BY66" s="172"/>
      <c r="BZ66" s="172"/>
      <c r="CA66" s="172"/>
      <c r="CB66" s="172"/>
      <c r="CC66" s="172"/>
      <c r="CE66" s="172"/>
      <c r="CF66" s="172"/>
      <c r="CG66" s="172"/>
      <c r="CH66" s="172"/>
      <c r="CI66" s="172"/>
      <c r="CJ66" s="172"/>
      <c r="CN66" s="119" t="s">
        <v>66</v>
      </c>
      <c r="CO66" s="119"/>
      <c r="CP66" s="82">
        <f t="array" aca="1" ref="CP66" ca="1">SQRT(SUM( (INDIRECT($CN66) - INDIRECT(CP$64))^2))</f>
        <v>2.3778816176702997</v>
      </c>
      <c r="CQ66" s="82" t="s">
        <v>78</v>
      </c>
      <c r="CR66" s="82">
        <f t="array" aca="1" ref="CR66" ca="1">SQRT(SUM( (INDIRECT($CN66) - INDIRECT(CR$64))^2))</f>
        <v>2.2090722034374521</v>
      </c>
      <c r="CS66" s="82">
        <f t="array" aca="1" ref="CS66" ca="1">SQRT(SUM( (INDIRECT($CN66) - INDIRECT(CS$64))^2))</f>
        <v>2.2544596159612174</v>
      </c>
      <c r="CT66" s="82">
        <f t="array" aca="1" ref="CT66" ca="1">SQRT(SUM( (INDIRECT($CN66) - INDIRECT(CT$64))^2))</f>
        <v>2.3751461943308763</v>
      </c>
      <c r="CU66" s="82">
        <f t="array" aca="1" ref="CU66" ca="1">SQRT(SUM( (INDIRECT($CN66) - INDIRECT(CU$64))^2))</f>
        <v>2.2090722034374521</v>
      </c>
      <c r="CV66" s="82">
        <f t="array" aca="1" ref="CV66" ca="1">SQRT(SUM( (INDIRECT($CN66) - INDIRECT(CV$64))^2))</f>
        <v>2.9724408596174232</v>
      </c>
      <c r="CW66" s="82">
        <f t="array" aca="1" ref="CW66" ca="1">SQRT(SUM( (INDIRECT($CN66) - INDIRECT(CW$64))^2))</f>
        <v>3.5306069145665586</v>
      </c>
      <c r="CX66" s="82">
        <f t="array" aca="1" ref="CX66" ca="1">SQRT(SUM( (INDIRECT($CN66) - INDIRECT(CX$64))^2))</f>
        <v>1.8182745801939793</v>
      </c>
      <c r="CY66" s="82">
        <f t="array" aca="1" ref="CY66" ca="1">SQRT(SUM( (INDIRECT($CN66) - INDIRECT(CY$64))^2))</f>
        <v>2.9724408596174245</v>
      </c>
      <c r="CZ66" s="82">
        <f t="array" aca="1" ref="CZ66" ca="1">SQRT(SUM( (INDIRECT($CN66) - INDIRECT(CZ$64))^2))</f>
        <v>598.16391024410575</v>
      </c>
      <c r="DA66" s="82">
        <f t="array" aca="1" ref="DA66" ca="1">SQRT(SUM( (INDIRECT($CN66) - INDIRECT(DA$64))^2))</f>
        <v>1.5856049357723627</v>
      </c>
      <c r="DD66" s="119" t="s">
        <v>66</v>
      </c>
      <c r="DE66" s="119"/>
      <c r="DF66" s="82">
        <f t="shared" ref="DF66:DF76" ca="1" si="25">MIN($CP66:$DA66)</f>
        <v>1.5856049357723627</v>
      </c>
      <c r="DG66" s="82" t="str">
        <f t="shared" ref="DG66:DG76" ca="1" si="26">INDEX($CP$64:$DA$64,MATCH(MIN(CP66:DA66),CP66:DA66,0))</f>
        <v>Refe12</v>
      </c>
    </row>
    <row r="67" spans="1:111" x14ac:dyDescent="0.25">
      <c r="A67" s="171"/>
      <c r="B67" s="171"/>
      <c r="C67" s="171"/>
      <c r="D67" s="171"/>
      <c r="F67" s="172"/>
      <c r="G67" s="172"/>
      <c r="H67" s="172"/>
      <c r="I67" s="172"/>
      <c r="J67" s="172"/>
      <c r="K67" s="172"/>
      <c r="M67" s="172"/>
      <c r="N67" s="172"/>
      <c r="O67" s="172"/>
      <c r="P67" s="172"/>
      <c r="Q67" s="172"/>
      <c r="R67" s="172"/>
      <c r="T67" s="172"/>
      <c r="U67" s="172"/>
      <c r="V67" s="172"/>
      <c r="W67" s="172"/>
      <c r="X67" s="172"/>
      <c r="Y67" s="172"/>
      <c r="Z67" s="7"/>
      <c r="AA67" s="172"/>
      <c r="AB67" s="172"/>
      <c r="AC67" s="172"/>
      <c r="AD67" s="172"/>
      <c r="AE67" s="172"/>
      <c r="AF67" s="172"/>
      <c r="AG67" s="50"/>
      <c r="AH67" s="172"/>
      <c r="AI67" s="172"/>
      <c r="AJ67" s="172"/>
      <c r="AK67" s="172"/>
      <c r="AL67" s="172"/>
      <c r="AM67" s="172"/>
      <c r="AO67" s="172"/>
      <c r="AP67" s="172"/>
      <c r="AQ67" s="172"/>
      <c r="AR67" s="172"/>
      <c r="AS67" s="172"/>
      <c r="AT67" s="172"/>
      <c r="AV67" s="172"/>
      <c r="AW67" s="172"/>
      <c r="AX67" s="172"/>
      <c r="AY67" s="172"/>
      <c r="AZ67" s="172"/>
      <c r="BA67" s="172"/>
      <c r="BC67" s="172"/>
      <c r="BD67" s="172"/>
      <c r="BE67" s="172"/>
      <c r="BF67" s="172"/>
      <c r="BG67" s="172"/>
      <c r="BH67" s="172"/>
      <c r="BJ67" s="172"/>
      <c r="BK67" s="172"/>
      <c r="BL67" s="172"/>
      <c r="BM67" s="172"/>
      <c r="BN67" s="172"/>
      <c r="BO67" s="172"/>
      <c r="BQ67" s="172"/>
      <c r="BR67" s="172"/>
      <c r="BS67" s="172"/>
      <c r="BT67" s="172"/>
      <c r="BU67" s="172"/>
      <c r="BV67" s="172"/>
      <c r="BX67" s="172"/>
      <c r="BY67" s="172"/>
      <c r="BZ67" s="172"/>
      <c r="CA67" s="172"/>
      <c r="CB67" s="172"/>
      <c r="CC67" s="172"/>
      <c r="CE67" s="172"/>
      <c r="CF67" s="172"/>
      <c r="CG67" s="172"/>
      <c r="CH67" s="172"/>
      <c r="CI67" s="172"/>
      <c r="CJ67" s="172"/>
      <c r="CN67" s="119" t="s">
        <v>67</v>
      </c>
      <c r="CO67" s="119"/>
      <c r="CP67" s="82">
        <f t="array" aca="1" ref="CP67" ca="1">SQRT(SUM( (INDIRECT($CN67) - INDIRECT(CP$64))^2))</f>
        <v>0.91947381624787561</v>
      </c>
      <c r="CQ67" s="82">
        <f t="array" aca="1" ref="CQ67" ca="1">SQRT(SUM( (INDIRECT($CN67) - INDIRECT(CQ$64))^2))</f>
        <v>2.2090722034374521</v>
      </c>
      <c r="CR67" s="82" t="s">
        <v>78</v>
      </c>
      <c r="CS67" s="82">
        <f t="array" aca="1" ref="CS67" ca="1">SQRT(SUM( (INDIRECT($CN67) - INDIRECT(CS$64))^2))</f>
        <v>1.4569104845528427</v>
      </c>
      <c r="CT67" s="82">
        <f t="array" aca="1" ref="CT67" ca="1">SQRT(SUM( (INDIRECT($CN67) - INDIRECT(CT$64))^2))</f>
        <v>3.3398581972559529</v>
      </c>
      <c r="CU67" s="82">
        <f t="array" aca="1" ref="CU67" ca="1">SQRT(SUM( (INDIRECT($CN67) - INDIRECT(CU$64))^2))</f>
        <v>1.6</v>
      </c>
      <c r="CV67" s="82">
        <f t="array" aca="1" ref="CV67" ca="1">SQRT(SUM( (INDIRECT($CN67) - INDIRECT(CV$64))^2))</f>
        <v>2.6297157002085161</v>
      </c>
      <c r="CW67" s="82">
        <f t="array" aca="1" ref="CW67" ca="1">SQRT(SUM( (INDIRECT($CN67) - INDIRECT(CW$64))^2))</f>
        <v>3.7491727482601154</v>
      </c>
      <c r="CX67" s="82">
        <f t="array" aca="1" ref="CX67" ca="1">SQRT(SUM( (INDIRECT($CN67) - INDIRECT(CX$64))^2))</f>
        <v>0.99303698268472984</v>
      </c>
      <c r="CY67" s="82">
        <f t="array" aca="1" ref="CY67" ca="1">SQRT(SUM( (INDIRECT($CN67) - INDIRECT(CY$64))^2))</f>
        <v>2.6297157002085179</v>
      </c>
      <c r="CZ67" s="82">
        <f t="array" aca="1" ref="CZ67" ca="1">SQRT(SUM( (INDIRECT($CN67) - INDIRECT(CZ$64))^2))</f>
        <v>598.17480645215585</v>
      </c>
      <c r="DA67" s="82">
        <f t="array" aca="1" ref="DA67" ca="1">SQRT(SUM( (INDIRECT($CN67) - INDIRECT(DA$64))^2))</f>
        <v>1.5035989089555581</v>
      </c>
      <c r="DD67" s="119" t="s">
        <v>67</v>
      </c>
      <c r="DE67" s="119"/>
      <c r="DF67" s="82">
        <f t="shared" ca="1" si="25"/>
        <v>0.91947381624787561</v>
      </c>
      <c r="DG67" s="82" t="str">
        <f t="shared" ca="1" si="26"/>
        <v>Refe1</v>
      </c>
    </row>
    <row r="68" spans="1:111" x14ac:dyDescent="0.25">
      <c r="A68" s="171"/>
      <c r="B68" s="171"/>
      <c r="C68" s="171"/>
      <c r="D68" s="171"/>
      <c r="F68" s="172"/>
      <c r="G68" s="172"/>
      <c r="H68" s="172"/>
      <c r="I68" s="172"/>
      <c r="J68" s="172"/>
      <c r="K68" s="172"/>
      <c r="M68" s="172"/>
      <c r="N68" s="172"/>
      <c r="O68" s="172"/>
      <c r="P68" s="172"/>
      <c r="Q68" s="172"/>
      <c r="R68" s="172"/>
      <c r="T68" s="172"/>
      <c r="U68" s="172"/>
      <c r="V68" s="172"/>
      <c r="W68" s="172"/>
      <c r="X68" s="172"/>
      <c r="Y68" s="172"/>
      <c r="Z68" s="7"/>
      <c r="AA68" s="172"/>
      <c r="AB68" s="172"/>
      <c r="AC68" s="172"/>
      <c r="AD68" s="172"/>
      <c r="AE68" s="172"/>
      <c r="AF68" s="172"/>
      <c r="AG68" s="50"/>
      <c r="AH68" s="172"/>
      <c r="AI68" s="172"/>
      <c r="AJ68" s="172"/>
      <c r="AK68" s="172"/>
      <c r="AL68" s="172"/>
      <c r="AM68" s="172"/>
      <c r="AO68" s="172"/>
      <c r="AP68" s="172"/>
      <c r="AQ68" s="172"/>
      <c r="AR68" s="172"/>
      <c r="AS68" s="172"/>
      <c r="AT68" s="172"/>
      <c r="AV68" s="172"/>
      <c r="AW68" s="172"/>
      <c r="AX68" s="172"/>
      <c r="AY68" s="172"/>
      <c r="AZ68" s="172"/>
      <c r="BA68" s="172"/>
      <c r="BC68" s="172"/>
      <c r="BD68" s="172"/>
      <c r="BE68" s="172"/>
      <c r="BF68" s="172"/>
      <c r="BG68" s="172"/>
      <c r="BH68" s="172"/>
      <c r="BJ68" s="172"/>
      <c r="BK68" s="172"/>
      <c r="BL68" s="172"/>
      <c r="BM68" s="172"/>
      <c r="BN68" s="172"/>
      <c r="BO68" s="172"/>
      <c r="BQ68" s="172"/>
      <c r="BR68" s="172"/>
      <c r="BS68" s="172"/>
      <c r="BT68" s="172"/>
      <c r="BU68" s="172"/>
      <c r="BV68" s="172"/>
      <c r="BX68" s="172"/>
      <c r="BY68" s="172"/>
      <c r="BZ68" s="172"/>
      <c r="CA68" s="172"/>
      <c r="CB68" s="172"/>
      <c r="CC68" s="172"/>
      <c r="CE68" s="172"/>
      <c r="CF68" s="172"/>
      <c r="CG68" s="172"/>
      <c r="CH68" s="172"/>
      <c r="CI68" s="172"/>
      <c r="CJ68" s="172"/>
      <c r="CN68" s="119" t="s">
        <v>68</v>
      </c>
      <c r="CO68" s="119"/>
      <c r="CP68" s="82">
        <f t="array" aca="1" ref="CP68" ca="1">SQRT(SUM( (INDIRECT($CN68) - INDIRECT(CP$64))^2))</f>
        <v>1.4044446244725617</v>
      </c>
      <c r="CQ68" s="82">
        <f t="array" aca="1" ref="CQ68" ca="1">SQRT(SUM( (INDIRECT($CN68) - INDIRECT(CQ$64))^2))</f>
        <v>2.2544596159612174</v>
      </c>
      <c r="CR68" s="82">
        <f t="array" aca="1" ref="CR68" ca="1">SQRT(SUM( (INDIRECT($CN68) - INDIRECT(CR$64))^2))</f>
        <v>1.4569104845528427</v>
      </c>
      <c r="CS68" s="82" t="s">
        <v>78</v>
      </c>
      <c r="CT68" s="82">
        <f t="array" aca="1" ref="CT68" ca="1">SQRT(SUM( (INDIRECT($CN68) - INDIRECT(CT$64))^2))</f>
        <v>3.5382727807662189</v>
      </c>
      <c r="CU68" s="82">
        <f t="array" aca="1" ref="CU68" ca="1">SQRT(SUM( (INDIRECT($CN68) - INDIRECT(CU$64))^2))</f>
        <v>1.4569104845528427</v>
      </c>
      <c r="CV68" s="82">
        <f t="array" aca="1" ref="CV68" ca="1">SQRT(SUM( (INDIRECT($CN68) - INDIRECT(CV$64))^2))</f>
        <v>2.7966554512152642</v>
      </c>
      <c r="CW68" s="82">
        <f t="array" aca="1" ref="CW68" ca="1">SQRT(SUM( (INDIRECT($CN68) - INDIRECT(CW$64))^2))</f>
        <v>3.556133357496075</v>
      </c>
      <c r="CX68" s="82">
        <f t="array" aca="1" ref="CX68" ca="1">SQRT(SUM( (INDIRECT($CN68) - INDIRECT(CX$64))^2))</f>
        <v>1.4182974835473459</v>
      </c>
      <c r="CY68" s="82">
        <f t="array" aca="1" ref="CY68" ca="1">SQRT(SUM( (INDIRECT($CN68) - INDIRECT(CY$64))^2))</f>
        <v>2.5675828541279961</v>
      </c>
      <c r="CZ68" s="82">
        <f t="array" aca="1" ref="CZ68" ca="1">SQRT(SUM( (INDIRECT($CN68) - INDIRECT(CZ$64))^2))</f>
        <v>597.02302443597478</v>
      </c>
      <c r="DA68" s="82">
        <f t="array" aca="1" ref="DA68" ca="1">SQRT(SUM( (INDIRECT($CN68) - INDIRECT(DA$64))^2))</f>
        <v>2.2641506367022068</v>
      </c>
      <c r="DD68" s="119" t="s">
        <v>68</v>
      </c>
      <c r="DE68" s="119"/>
      <c r="DF68" s="82">
        <f t="shared" ca="1" si="25"/>
        <v>1.4044446244725617</v>
      </c>
      <c r="DG68" s="82" t="str">
        <f t="shared" ca="1" si="26"/>
        <v>Refe1</v>
      </c>
    </row>
    <row r="69" spans="1:111" x14ac:dyDescent="0.25">
      <c r="T69" s="7"/>
      <c r="U69" s="7"/>
      <c r="V69" s="7"/>
      <c r="W69" s="7"/>
      <c r="X69" s="7"/>
      <c r="Y69" s="7"/>
      <c r="Z69" s="7"/>
      <c r="AA69" s="7"/>
      <c r="AB69" s="7"/>
      <c r="AC69" s="7"/>
      <c r="AD69" s="50"/>
      <c r="AE69" s="50"/>
      <c r="AF69" s="50"/>
      <c r="AG69" s="50"/>
      <c r="AH69" s="50"/>
      <c r="AI69" s="50"/>
      <c r="CN69" s="119" t="s">
        <v>69</v>
      </c>
      <c r="CO69" s="119"/>
      <c r="CP69" s="82">
        <f t="array" aca="1" ref="CP69" ca="1">SQRT(SUM( (INDIRECT($CN69) - INDIRECT(CP$64))^2))</f>
        <v>3.1238763411924184</v>
      </c>
      <c r="CQ69" s="82">
        <f t="array" aca="1" ref="CQ69" ca="1">SQRT(SUM( (INDIRECT($CN69) - INDIRECT(CQ$64))^2))</f>
        <v>2.3751461943308763</v>
      </c>
      <c r="CR69" s="82">
        <f t="array" aca="1" ref="CR69" ca="1">SQRT(SUM( (INDIRECT($CN69) - INDIRECT(CR$64))^2))</f>
        <v>3.3398581972559529</v>
      </c>
      <c r="CS69" s="82">
        <f t="array" aca="1" ref="CS69" ca="1">SQRT(SUM( (INDIRECT($CN69) - INDIRECT(CS$64))^2))</f>
        <v>3.5382727807662189</v>
      </c>
      <c r="CT69" s="82" t="s">
        <v>78</v>
      </c>
      <c r="CU69" s="82">
        <f t="array" aca="1" ref="CU69" ca="1">SQRT(SUM( (INDIRECT($CN69) - INDIRECT(CU$64))^2))</f>
        <v>3.0256656751494835</v>
      </c>
      <c r="CV69" s="82">
        <f t="array" aca="1" ref="CV69" ca="1">SQRT(SUM( (INDIRECT($CN69) - INDIRECT(CV$64))^2))</f>
        <v>4.1721144427235473</v>
      </c>
      <c r="CW69" s="82">
        <f t="array" aca="1" ref="CW69" ca="1">SQRT(SUM( (INDIRECT($CN69) - INDIRECT(CW$64))^2))</f>
        <v>3.1467146790907092</v>
      </c>
      <c r="CX69" s="82">
        <f t="array" aca="1" ref="CX69" ca="1">SQRT(SUM( (INDIRECT($CN69) - INDIRECT(CX$64))^2))</f>
        <v>2.6493150935388203</v>
      </c>
      <c r="CY69" s="82">
        <f t="array" aca="1" ref="CY69" ca="1">SQRT(SUM( (INDIRECT($CN69) - INDIRECT(CY$64))^2))</f>
        <v>2.8610833931295492</v>
      </c>
      <c r="CZ69" s="82">
        <f t="array" aca="1" ref="CZ69" ca="1">SQRT(SUM( (INDIRECT($CN69) - INDIRECT(CZ$64))^2))</f>
        <v>598.88784876095008</v>
      </c>
      <c r="DA69" s="82">
        <f t="array" aca="1" ref="DA69" ca="1">SQRT(SUM( (INDIRECT($CN69) - INDIRECT(DA$64))^2))</f>
        <v>2.655703061919088</v>
      </c>
      <c r="DD69" s="119" t="s">
        <v>69</v>
      </c>
      <c r="DE69" s="119"/>
      <c r="DF69" s="82">
        <f t="shared" ca="1" si="25"/>
        <v>2.3751461943308763</v>
      </c>
      <c r="DG69" s="82" t="str">
        <f t="shared" ca="1" si="26"/>
        <v>Refe2</v>
      </c>
    </row>
    <row r="70" spans="1:111" x14ac:dyDescent="0.25">
      <c r="T70" s="7"/>
      <c r="U70" s="7"/>
      <c r="V70" s="7"/>
      <c r="W70" s="7"/>
      <c r="X70" s="7"/>
      <c r="Y70" s="7"/>
      <c r="Z70" s="7"/>
      <c r="AA70" s="7"/>
      <c r="AB70" s="7"/>
      <c r="AC70" s="7"/>
      <c r="AD70" s="50"/>
      <c r="AE70" s="50"/>
      <c r="AF70" s="50"/>
      <c r="AG70" s="50"/>
      <c r="AH70" s="50"/>
      <c r="AI70" s="50"/>
      <c r="CN70" s="119" t="s">
        <v>70</v>
      </c>
      <c r="CO70" s="119"/>
      <c r="CP70" s="82">
        <f t="array" aca="1" ref="CP70" ca="1">SQRT(SUM( (INDIRECT($CN70) - INDIRECT(CP$64))^2))</f>
        <v>0.91947381624787561</v>
      </c>
      <c r="CQ70" s="82">
        <f t="array" aca="1" ref="CQ70" ca="1">SQRT(SUM( (INDIRECT($CN70) - INDIRECT(CQ$64))^2))</f>
        <v>2.2090722034374521</v>
      </c>
      <c r="CR70" s="82">
        <f t="array" aca="1" ref="CR70" ca="1">SQRT(SUM( (INDIRECT($CN70) - INDIRECT(CR$64))^2))</f>
        <v>1.6</v>
      </c>
      <c r="CS70" s="82">
        <f t="array" aca="1" ref="CS70" ca="1">SQRT(SUM( (INDIRECT($CN70) - INDIRECT(CS$64))^2))</f>
        <v>1.4569104845528427</v>
      </c>
      <c r="CT70" s="82">
        <f t="array" aca="1" ref="CT70" ca="1">SQRT(SUM( (INDIRECT($CN70) - INDIRECT(CT$64))^2))</f>
        <v>3.0256656751494835</v>
      </c>
      <c r="CU70" s="82" t="s">
        <v>78</v>
      </c>
      <c r="CV70" s="82">
        <f t="array" aca="1" ref="CV70" ca="1">SQRT(SUM( (INDIRECT($CN70) - INDIRECT(CV$64))^2))</f>
        <v>2.3813777985608922</v>
      </c>
      <c r="CW70" s="82">
        <f t="array" aca="1" ref="CW70" ca="1">SQRT(SUM( (INDIRECT($CN70) - INDIRECT(CW$64))^2))</f>
        <v>3.3484103469933104</v>
      </c>
      <c r="CX70" s="82">
        <f t="array" aca="1" ref="CX70" ca="1">SQRT(SUM( (INDIRECT($CN70) - INDIRECT(CX$64))^2))</f>
        <v>0.99303698268472984</v>
      </c>
      <c r="CY70" s="82">
        <f t="array" aca="1" ref="CY70" ca="1">SQRT(SUM( (INDIRECT($CN70) - INDIRECT(CY$64))^2))</f>
        <v>2.3813777985608944</v>
      </c>
      <c r="CZ70" s="82">
        <f t="array" aca="1" ref="CZ70" ca="1">SQRT(SUM( (INDIRECT($CN70) - INDIRECT(CZ$64))^2))</f>
        <v>598.17421205110725</v>
      </c>
      <c r="DA70" s="82">
        <f t="array" aca="1" ref="DA70" ca="1">SQRT(SUM( (INDIRECT($CN70) - INDIRECT(DA$64))^2))</f>
        <v>1.5035989089555581</v>
      </c>
      <c r="DD70" s="119" t="s">
        <v>70</v>
      </c>
      <c r="DE70" s="119"/>
      <c r="DF70" s="82">
        <f t="shared" ca="1" si="25"/>
        <v>0.91947381624787561</v>
      </c>
      <c r="DG70" s="82" t="str">
        <f t="shared" ca="1" si="26"/>
        <v>Refe1</v>
      </c>
    </row>
    <row r="71" spans="1:111" x14ac:dyDescent="0.25">
      <c r="T71" s="7"/>
      <c r="U71" s="7"/>
      <c r="V71" s="7"/>
      <c r="W71" s="7"/>
      <c r="X71" s="7"/>
      <c r="Y71" s="7"/>
      <c r="Z71" s="7"/>
      <c r="AA71" s="7"/>
      <c r="AB71" s="7"/>
      <c r="AC71" s="7"/>
      <c r="AD71" s="50"/>
      <c r="AE71" s="50"/>
      <c r="AF71" s="50"/>
      <c r="AG71" s="50"/>
      <c r="AH71" s="50"/>
      <c r="AI71" s="50"/>
      <c r="CN71" s="119" t="s">
        <v>71</v>
      </c>
      <c r="CO71" s="119"/>
      <c r="CP71" s="82">
        <f t="array" aca="1" ref="CP71" ca="1">SQRT(SUM( (INDIRECT($CN71) - INDIRECT(CP$64))^2))</f>
        <v>2.4131015280983972</v>
      </c>
      <c r="CQ71" s="82">
        <f t="array" aca="1" ref="CQ71" ca="1">SQRT(SUM( (INDIRECT($CN71) - INDIRECT(CQ$64))^2))</f>
        <v>2.9724408596174232</v>
      </c>
      <c r="CR71" s="82">
        <f t="array" aca="1" ref="CR71" ca="1">SQRT(SUM( (INDIRECT($CN71) - INDIRECT(CR$64))^2))</f>
        <v>2.6297157002085161</v>
      </c>
      <c r="CS71" s="82">
        <f t="array" aca="1" ref="CS71" ca="1">SQRT(SUM( (INDIRECT($CN71) - INDIRECT(CS$64))^2))</f>
        <v>2.7966554512152642</v>
      </c>
      <c r="CT71" s="82">
        <f t="array" aca="1" ref="CT71" ca="1">SQRT(SUM( (INDIRECT($CN71) - INDIRECT(CT$64))^2))</f>
        <v>4.1721144427235473</v>
      </c>
      <c r="CU71" s="82">
        <f t="array" aca="1" ref="CU71" ca="1">SQRT(SUM( (INDIRECT($CN71) - INDIRECT(CU$64))^2))</f>
        <v>2.3813777985608922</v>
      </c>
      <c r="CV71" s="82" t="s">
        <v>78</v>
      </c>
      <c r="CW71" s="82">
        <f t="array" aca="1" ref="CW71" ca="1">SQRT(SUM( (INDIRECT($CN71) - INDIRECT(CW$64))^2))</f>
        <v>5.6007311398076851</v>
      </c>
      <c r="CX71" s="82">
        <f t="array" aca="1" ref="CX71" ca="1">SQRT(SUM( (INDIRECT($CN71) - INDIRECT(CX$64))^2))</f>
        <v>2.3601056208301747</v>
      </c>
      <c r="CY71" s="82">
        <f t="array" aca="1" ref="CY71" ca="1">SQRT(SUM( (INDIRECT($CN71) - INDIRECT(CY$64))^2))</f>
        <v>4.6317091625882334</v>
      </c>
      <c r="CZ71" s="82">
        <f t="array" aca="1" ref="CZ71" ca="1">SQRT(SUM( (INDIRECT($CN71) - INDIRECT(CZ$64))^2))</f>
        <v>598.40919020615195</v>
      </c>
      <c r="DA71" s="82">
        <f t="array" aca="1" ref="DA71" ca="1">SQRT(SUM( (INDIRECT($CN71) - INDIRECT(DA$64))^2))</f>
        <v>2.523571253957317</v>
      </c>
      <c r="DD71" s="119" t="s">
        <v>71</v>
      </c>
      <c r="DE71" s="119"/>
      <c r="DF71" s="82">
        <f t="shared" ca="1" si="25"/>
        <v>2.3601056208301747</v>
      </c>
      <c r="DG71" s="82" t="str">
        <f t="shared" ca="1" si="26"/>
        <v>Refe9</v>
      </c>
    </row>
    <row r="72" spans="1:111" x14ac:dyDescent="0.25">
      <c r="T72" s="7"/>
      <c r="U72" s="7"/>
      <c r="V72" s="7"/>
      <c r="W72" s="7"/>
      <c r="X72" s="7"/>
      <c r="Y72" s="7"/>
      <c r="Z72" s="7"/>
      <c r="AA72" s="7"/>
      <c r="AB72" s="7"/>
      <c r="AC72" s="7"/>
      <c r="AD72" s="50"/>
      <c r="AE72" s="50"/>
      <c r="AF72" s="50"/>
      <c r="AG72" s="50"/>
      <c r="AH72" s="50"/>
      <c r="AI72" s="50"/>
      <c r="CN72" s="119" t="s">
        <v>72</v>
      </c>
      <c r="CO72" s="119"/>
      <c r="CP72" s="82">
        <f t="array" aca="1" ref="CP72" ca="1">SQRT(SUM( (INDIRECT($CN72) - INDIRECT(CP$64))^2))</f>
        <v>3.5688639822017314</v>
      </c>
      <c r="CQ72" s="82">
        <f t="array" aca="1" ref="CQ72" ca="1">SQRT(SUM( (INDIRECT($CN72) - INDIRECT(CQ$64))^2))</f>
        <v>3.5306069145665586</v>
      </c>
      <c r="CR72" s="82">
        <f t="array" aca="1" ref="CR72" ca="1">SQRT(SUM( (INDIRECT($CN72) - INDIRECT(CR$64))^2))</f>
        <v>3.7491727482601154</v>
      </c>
      <c r="CS72" s="82">
        <f t="array" aca="1" ref="CS72" ca="1">SQRT(SUM( (INDIRECT($CN72) - INDIRECT(CS$64))^2))</f>
        <v>3.556133357496075</v>
      </c>
      <c r="CT72" s="82">
        <f t="array" aca="1" ref="CT72" ca="1">SQRT(SUM( (INDIRECT($CN72) - INDIRECT(CT$64))^2))</f>
        <v>3.1467146790907092</v>
      </c>
      <c r="CU72" s="82">
        <f t="array" aca="1" ref="CU72" ca="1">SQRT(SUM( (INDIRECT($CN72) - INDIRECT(CU$64))^2))</f>
        <v>3.3484103469933104</v>
      </c>
      <c r="CV72" s="82">
        <f t="array" aca="1" ref="CV72" ca="1">SQRT(SUM( (INDIRECT($CN72) - INDIRECT(CV$64))^2))</f>
        <v>5.6007311398076851</v>
      </c>
      <c r="CW72" s="82" t="s">
        <v>78</v>
      </c>
      <c r="CX72" s="82">
        <f t="array" aca="1" ref="CX72" ca="1">SQRT(SUM( (INDIRECT($CN72) - INDIRECT(CX$64))^2))</f>
        <v>3.4309339303118018</v>
      </c>
      <c r="CY72" s="82">
        <f t="array" aca="1" ref="CY72" ca="1">SQRT(SUM( (INDIRECT($CN72) - INDIRECT(CY$64))^2))</f>
        <v>1.2662388274632821</v>
      </c>
      <c r="CZ72" s="82">
        <f t="array" aca="1" ref="CZ72" ca="1">SQRT(SUM( (INDIRECT($CN72) - INDIRECT(CZ$64))^2))</f>
        <v>598.00390448028224</v>
      </c>
      <c r="DA72" s="82">
        <f t="array" aca="1" ref="DA72" ca="1">SQRT(SUM( (INDIRECT($CN72) - INDIRECT(DA$64))^2))</f>
        <v>3.5471943077297201</v>
      </c>
      <c r="DD72" s="119" t="s">
        <v>72</v>
      </c>
      <c r="DE72" s="119"/>
      <c r="DF72" s="82">
        <f t="shared" ca="1" si="25"/>
        <v>1.2662388274632821</v>
      </c>
      <c r="DG72" s="82" t="str">
        <f t="shared" ca="1" si="26"/>
        <v>Refe10</v>
      </c>
    </row>
    <row r="73" spans="1:111" x14ac:dyDescent="0.25">
      <c r="T73" s="7"/>
      <c r="U73" s="7"/>
      <c r="V73" s="7"/>
      <c r="W73" s="7"/>
      <c r="X73" s="7"/>
      <c r="Y73" s="7"/>
      <c r="Z73" s="7"/>
      <c r="AA73" s="7"/>
      <c r="AB73" s="7"/>
      <c r="AC73" s="7"/>
      <c r="AD73" s="50"/>
      <c r="AE73" s="50"/>
      <c r="AF73" s="50"/>
      <c r="AG73" s="50"/>
      <c r="AH73" s="50"/>
      <c r="AI73" s="50"/>
      <c r="CN73" s="119" t="s">
        <v>73</v>
      </c>
      <c r="CO73" s="119"/>
      <c r="CP73" s="82">
        <f t="array" aca="1" ref="CP73" ca="1">SQRT(SUM( (INDIRECT($CN73) - INDIRECT(CP$64))^2))</f>
        <v>0.62371056204407938</v>
      </c>
      <c r="CQ73" s="82">
        <f t="array" aca="1" ref="CQ73" ca="1">SQRT(SUM( (INDIRECT($CN73) - INDIRECT(CQ$64))^2))</f>
        <v>1.8182745801939793</v>
      </c>
      <c r="CR73" s="82">
        <f t="array" aca="1" ref="CR73" ca="1">SQRT(SUM( (INDIRECT($CN73) - INDIRECT(CR$64))^2))</f>
        <v>0.99303698268472984</v>
      </c>
      <c r="CS73" s="82">
        <f t="array" aca="1" ref="CS73" ca="1">SQRT(SUM( (INDIRECT($CN73) - INDIRECT(CS$64))^2))</f>
        <v>1.4182974835473459</v>
      </c>
      <c r="CT73" s="82">
        <f t="array" aca="1" ref="CT73" ca="1">SQRT(SUM( (INDIRECT($CN73) - INDIRECT(CT$64))^2))</f>
        <v>2.6493150935388203</v>
      </c>
      <c r="CU73" s="82">
        <f t="array" aca="1" ref="CU73" ca="1">SQRT(SUM( (INDIRECT($CN73) - INDIRECT(CU$64))^2))</f>
        <v>0.99303698268472984</v>
      </c>
      <c r="CV73" s="82">
        <f t="array" aca="1" ref="CV73" ca="1">SQRT(SUM( (INDIRECT($CN73) - INDIRECT(CV$64))^2))</f>
        <v>2.3601056208301747</v>
      </c>
      <c r="CW73" s="82">
        <f t="array" aca="1" ref="CW73" ca="1">SQRT(SUM( (INDIRECT($CN73) - INDIRECT(CW$64))^2))</f>
        <v>3.4309339303118018</v>
      </c>
      <c r="CX73" s="82" t="s">
        <v>78</v>
      </c>
      <c r="CY73" s="82">
        <f t="array" aca="1" ref="CY73" ca="1">SQRT(SUM( (INDIRECT($CN73) - INDIRECT(CY$64))^2))</f>
        <v>2.3601056208301769</v>
      </c>
      <c r="CZ73" s="82">
        <f t="array" aca="1" ref="CZ73" ca="1">SQRT(SUM( (INDIRECT($CN73) - INDIRECT(CZ$64))^2))</f>
        <v>598.17109204244673</v>
      </c>
      <c r="DA73" s="82">
        <f t="array" aca="1" ref="DA73" ca="1">SQRT(SUM( (INDIRECT($CN73) - INDIRECT(DA$64))^2))</f>
        <v>1.2271836647542029</v>
      </c>
      <c r="DD73" s="119" t="s">
        <v>73</v>
      </c>
      <c r="DE73" s="119"/>
      <c r="DF73" s="82">
        <f t="shared" ca="1" si="25"/>
        <v>0.62371056204407938</v>
      </c>
      <c r="DG73" s="82" t="str">
        <f t="shared" ca="1" si="26"/>
        <v>Refe1</v>
      </c>
    </row>
    <row r="74" spans="1:111" x14ac:dyDescent="0.25">
      <c r="T74" s="7"/>
      <c r="U74" s="7"/>
      <c r="V74" s="7"/>
      <c r="W74" s="7"/>
      <c r="X74" s="7"/>
      <c r="Y74" s="7"/>
      <c r="Z74" s="7"/>
      <c r="AA74" s="7"/>
      <c r="AB74" s="7"/>
      <c r="AC74" s="7"/>
      <c r="CN74" s="119" t="s">
        <v>74</v>
      </c>
      <c r="CO74" s="119"/>
      <c r="CP74" s="82">
        <f t="array" aca="1" ref="CP74" ca="1">SQRT(SUM( (INDIRECT($CN74) - INDIRECT(CP$64))^2))</f>
        <v>2.4131015280983994</v>
      </c>
      <c r="CQ74" s="82">
        <f t="array" aca="1" ref="CQ74" ca="1">SQRT(SUM( (INDIRECT($CN74) - INDIRECT(CQ$64))^2))</f>
        <v>2.9724408596174245</v>
      </c>
      <c r="CR74" s="82">
        <f t="array" aca="1" ref="CR74" ca="1">SQRT(SUM( (INDIRECT($CN74) - INDIRECT(CR$64))^2))</f>
        <v>2.6297157002085179</v>
      </c>
      <c r="CS74" s="82">
        <f t="array" aca="1" ref="CS74" ca="1">SQRT(SUM( (INDIRECT($CN74) - INDIRECT(CS$64))^2))</f>
        <v>2.5675828541279961</v>
      </c>
      <c r="CT74" s="82">
        <f t="array" aca="1" ref="CT74" ca="1">SQRT(SUM( (INDIRECT($CN74) - INDIRECT(CT$64))^2))</f>
        <v>2.8610833931295492</v>
      </c>
      <c r="CU74" s="82">
        <f t="array" aca="1" ref="CU74" ca="1">SQRT(SUM( (INDIRECT($CN74) - INDIRECT(CU$64))^2))</f>
        <v>2.3813777985608944</v>
      </c>
      <c r="CV74" s="82">
        <f t="array" aca="1" ref="CV74" ca="1">SQRT(SUM( (INDIRECT($CN74) - INDIRECT(CV$64))^2))</f>
        <v>4.6317091625882334</v>
      </c>
      <c r="CW74" s="82">
        <f t="array" aca="1" ref="CW74" ca="1">SQRT(SUM( (INDIRECT($CN74) - INDIRECT(CW$64))^2))</f>
        <v>1.2662388274632821</v>
      </c>
      <c r="CX74" s="82">
        <f t="array" aca="1" ref="CX74" ca="1">SQRT(SUM( (INDIRECT($CN74) - INDIRECT(CX$64))^2))</f>
        <v>2.3601056208301769</v>
      </c>
      <c r="CY74" s="82" t="s">
        <v>78</v>
      </c>
      <c r="CZ74" s="82">
        <f t="array" aca="1" ref="CZ74" ca="1">SQRT(SUM( (INDIRECT($CN74) - INDIRECT(CZ$64))^2))</f>
        <v>597.94322733911224</v>
      </c>
      <c r="DA74" s="82">
        <f t="array" aca="1" ref="DA74" ca="1">SQRT(SUM( (INDIRECT($CN74) - INDIRECT(DA$64))^2))</f>
        <v>2.7188990186837971</v>
      </c>
      <c r="DD74" s="119" t="s">
        <v>74</v>
      </c>
      <c r="DE74" s="119"/>
      <c r="DF74" s="82">
        <f t="shared" ca="1" si="25"/>
        <v>1.2662388274632821</v>
      </c>
      <c r="DG74" s="82" t="str">
        <f t="shared" ca="1" si="26"/>
        <v>Refe8</v>
      </c>
    </row>
    <row r="75" spans="1:111" x14ac:dyDescent="0.25">
      <c r="T75" s="7"/>
      <c r="U75" s="7"/>
      <c r="V75" s="7"/>
      <c r="W75" s="7"/>
      <c r="X75" s="7"/>
      <c r="Y75" s="7"/>
      <c r="Z75" s="7"/>
      <c r="AA75" s="7"/>
      <c r="AB75" s="7"/>
      <c r="AC75" s="7"/>
      <c r="CN75" s="119" t="s">
        <v>75</v>
      </c>
      <c r="CO75" s="119"/>
      <c r="CP75" s="82">
        <f t="array" aca="1" ref="CP75" ca="1">SQRT(SUM( (INDIRECT($CN75) - INDIRECT(CP$64))^2))</f>
        <v>598.1753133436946</v>
      </c>
      <c r="CQ75" s="82">
        <f t="array" aca="1" ref="CQ75" ca="1">SQRT(SUM( (INDIRECT($CN75) - INDIRECT(CQ$64))^2))</f>
        <v>598.16391024410575</v>
      </c>
      <c r="CR75" s="82">
        <f t="array" aca="1" ref="CR75" ca="1">SQRT(SUM( (INDIRECT($CN75) - INDIRECT(CR$64))^2))</f>
        <v>598.17480645215585</v>
      </c>
      <c r="CS75" s="82">
        <f t="array" aca="1" ref="CS75" ca="1">SQRT(SUM( (INDIRECT($CN75) - INDIRECT(CS$64))^2))</f>
        <v>597.02302443597478</v>
      </c>
      <c r="CT75" s="82">
        <f t="array" aca="1" ref="CT75" ca="1">SQRT(SUM( (INDIRECT($CN75) - INDIRECT(CT$64))^2))</f>
        <v>598.88784876095008</v>
      </c>
      <c r="CU75" s="82">
        <f t="array" aca="1" ref="CU75" ca="1">SQRT(SUM( (INDIRECT($CN75) - INDIRECT(CU$64))^2))</f>
        <v>598.17421205110725</v>
      </c>
      <c r="CV75" s="82">
        <f t="array" aca="1" ref="CV75" ca="1">SQRT(SUM( (INDIRECT($CN75) - INDIRECT(CV$64))^2))</f>
        <v>598.40919020615195</v>
      </c>
      <c r="CW75" s="82">
        <f t="array" aca="1" ref="CW75" ca="1">SQRT(SUM( (INDIRECT($CN75) - INDIRECT(CW$64))^2))</f>
        <v>598.00390448028224</v>
      </c>
      <c r="CX75" s="82">
        <f t="array" aca="1" ref="CX75" ca="1">SQRT(SUM( (INDIRECT($CN75) - INDIRECT(CX$64))^2))</f>
        <v>598.17109204244673</v>
      </c>
      <c r="CY75" s="82">
        <f t="array" aca="1" ref="CY75" ca="1">SQRT(SUM( (INDIRECT($CN75) - INDIRECT(CY$64))^2))</f>
        <v>597.94322733911224</v>
      </c>
      <c r="CZ75" s="82" t="s">
        <v>78</v>
      </c>
      <c r="DA75" s="82">
        <f t="array" aca="1" ref="DA75" ca="1">SQRT(SUM( (INDIRECT($CN75) - INDIRECT(DA$64))^2))</f>
        <v>599.12819700933323</v>
      </c>
      <c r="DD75" s="119" t="s">
        <v>75</v>
      </c>
      <c r="DE75" s="119"/>
      <c r="DF75" s="82">
        <f t="shared" ca="1" si="25"/>
        <v>597.02302443597478</v>
      </c>
      <c r="DG75" s="82" t="str">
        <f t="shared" ca="1" si="26"/>
        <v>Refe4</v>
      </c>
    </row>
    <row r="76" spans="1:111" x14ac:dyDescent="0.25">
      <c r="CN76" s="119" t="s">
        <v>76</v>
      </c>
      <c r="CO76" s="119"/>
      <c r="CP76" s="82">
        <f t="array" aca="1" ref="CP76" ca="1">SQRT(SUM( (INDIRECT($CN76) - INDIRECT(CP$64))^2))</f>
        <v>1.5277094287741473</v>
      </c>
      <c r="CQ76" s="82">
        <f t="array" aca="1" ref="CQ76" ca="1">SQRT(SUM( (INDIRECT($CN76) - INDIRECT(CQ$64))^2))</f>
        <v>1.5856049357723627</v>
      </c>
      <c r="CR76" s="82">
        <f t="array" aca="1" ref="CR76" ca="1">SQRT(SUM( (INDIRECT($CN76) - INDIRECT(CR$64))^2))</f>
        <v>1.5035989089555581</v>
      </c>
      <c r="CS76" s="82">
        <f t="array" aca="1" ref="CS76" ca="1">SQRT(SUM( (INDIRECT($CN76) - INDIRECT(CS$64))^2))</f>
        <v>2.2641506367022068</v>
      </c>
      <c r="CT76" s="82">
        <f t="array" aca="1" ref="CT76" ca="1">SQRT(SUM( (INDIRECT($CN76) - INDIRECT(CT$64))^2))</f>
        <v>2.655703061919088</v>
      </c>
      <c r="CU76" s="82">
        <f t="array" aca="1" ref="CU76" ca="1">SQRT(SUM( (INDIRECT($CN76) - INDIRECT(CU$64))^2))</f>
        <v>1.5035989089555581</v>
      </c>
      <c r="CV76" s="82">
        <f t="array" aca="1" ref="CV76" ca="1">SQRT(SUM( (INDIRECT($CN76) - INDIRECT(CV$64))^2))</f>
        <v>2.523571253957317</v>
      </c>
      <c r="CW76" s="82">
        <f t="array" aca="1" ref="CW76" ca="1">SQRT(SUM( (INDIRECT($CN76) - INDIRECT(CW$64))^2))</f>
        <v>3.5471943077297201</v>
      </c>
      <c r="CX76" s="82">
        <f t="array" aca="1" ref="CX76" ca="1">SQRT(SUM( (INDIRECT($CN76) - INDIRECT(CX$64))^2))</f>
        <v>1.2271836647542029</v>
      </c>
      <c r="CY76" s="82">
        <f t="array" aca="1" ref="CY76" ca="1">SQRT(SUM( (INDIRECT($CN76) - INDIRECT(CY$64))^2))</f>
        <v>2.7188990186837971</v>
      </c>
      <c r="CZ76" s="82">
        <f t="array" aca="1" ref="CZ76" ca="1">SQRT(SUM( (INDIRECT($CN76) - INDIRECT(CZ$64))^2))</f>
        <v>599.12819700933323</v>
      </c>
      <c r="DA76" s="82" t="s">
        <v>78</v>
      </c>
      <c r="DD76" s="119" t="s">
        <v>76</v>
      </c>
      <c r="DE76" s="119"/>
      <c r="DF76" s="82">
        <f t="shared" ca="1" si="25"/>
        <v>1.2271836647542029</v>
      </c>
      <c r="DG76" s="82" t="str">
        <f t="shared" ca="1" si="26"/>
        <v>Refe9</v>
      </c>
    </row>
    <row r="77" spans="1:111" hidden="1" x14ac:dyDescent="0.25"/>
    <row r="78" spans="1:111" hidden="1" x14ac:dyDescent="0.25"/>
    <row r="79" spans="1:111" ht="15.75" hidden="1" thickBot="1" x14ac:dyDescent="0.3">
      <c r="B79" t="s">
        <v>51</v>
      </c>
    </row>
    <row r="80" spans="1:111" ht="15.75" hidden="1" thickBot="1" x14ac:dyDescent="0.3">
      <c r="D80" s="23" t="s">
        <v>5</v>
      </c>
      <c r="E80" s="22"/>
      <c r="F80" s="22"/>
      <c r="G80" s="33" t="s">
        <v>9</v>
      </c>
      <c r="H80" s="33" t="s">
        <v>10</v>
      </c>
      <c r="I80" s="33" t="s">
        <v>8</v>
      </c>
      <c r="J80" s="33"/>
      <c r="K80" s="22"/>
      <c r="L80" s="22"/>
      <c r="M80" s="22"/>
      <c r="N80" s="33" t="s">
        <v>9</v>
      </c>
      <c r="O80" s="33" t="s">
        <v>10</v>
      </c>
      <c r="P80" s="33" t="s">
        <v>8</v>
      </c>
      <c r="Q80" s="33"/>
      <c r="R80" s="22"/>
      <c r="S80" s="22"/>
      <c r="T80" s="22"/>
      <c r="U80" s="33" t="s">
        <v>9</v>
      </c>
      <c r="V80" s="33" t="s">
        <v>10</v>
      </c>
      <c r="W80" s="33" t="s">
        <v>8</v>
      </c>
      <c r="X80" s="33"/>
      <c r="Y80" s="22"/>
      <c r="Z80" s="22"/>
      <c r="AA80" s="22"/>
      <c r="AB80" s="33" t="s">
        <v>9</v>
      </c>
      <c r="AC80" s="33" t="s">
        <v>10</v>
      </c>
      <c r="AD80" s="33" t="s">
        <v>8</v>
      </c>
      <c r="AE80" s="33"/>
      <c r="AF80" s="22"/>
      <c r="AG80" s="22"/>
      <c r="AH80" s="22"/>
      <c r="AI80" s="33" t="s">
        <v>9</v>
      </c>
      <c r="AJ80" s="33" t="s">
        <v>10</v>
      </c>
      <c r="AK80" s="33" t="s">
        <v>8</v>
      </c>
      <c r="AL80" s="33"/>
      <c r="AM80" s="22"/>
      <c r="AN80" s="22"/>
      <c r="AO80" s="22"/>
      <c r="AP80" s="33" t="s">
        <v>9</v>
      </c>
      <c r="AQ80" s="33" t="s">
        <v>10</v>
      </c>
      <c r="AR80" s="33" t="s">
        <v>8</v>
      </c>
      <c r="AS80" s="33"/>
      <c r="AT80" s="22"/>
      <c r="AU80" s="22"/>
      <c r="AV80" s="22"/>
      <c r="AW80" s="33" t="s">
        <v>9</v>
      </c>
      <c r="AX80" s="33" t="s">
        <v>10</v>
      </c>
      <c r="AY80" s="33" t="s">
        <v>8</v>
      </c>
      <c r="AZ80" s="33"/>
      <c r="BA80" s="22"/>
      <c r="BB80" s="22"/>
      <c r="BC80" s="22"/>
      <c r="BD80" s="33" t="s">
        <v>9</v>
      </c>
      <c r="BE80" s="33" t="s">
        <v>10</v>
      </c>
      <c r="BF80" s="33" t="s">
        <v>8</v>
      </c>
      <c r="BG80" s="33"/>
      <c r="BH80" s="22"/>
      <c r="BI80" s="22"/>
      <c r="BJ80" s="22"/>
      <c r="BK80" s="33" t="s">
        <v>9</v>
      </c>
      <c r="BL80" s="33" t="s">
        <v>10</v>
      </c>
      <c r="BM80" s="33" t="s">
        <v>8</v>
      </c>
      <c r="BN80" s="33"/>
      <c r="BO80" s="22"/>
      <c r="BP80" s="22"/>
      <c r="BQ80" s="22"/>
      <c r="BR80" s="33" t="s">
        <v>9</v>
      </c>
      <c r="BS80" s="33" t="s">
        <v>10</v>
      </c>
      <c r="BT80" s="33" t="s">
        <v>8</v>
      </c>
      <c r="BU80" s="34"/>
    </row>
    <row r="81" spans="4:73" ht="15.75" hidden="1" thickBot="1" x14ac:dyDescent="0.3">
      <c r="D81" s="24" t="s">
        <v>2</v>
      </c>
      <c r="E81" s="26"/>
      <c r="F81" s="5"/>
      <c r="G81" s="32">
        <v>0</v>
      </c>
      <c r="H81" s="32">
        <v>0</v>
      </c>
      <c r="I81" s="108">
        <f t="array" ref="I81">SUM(Matrice1*ValeurX^G81*ValeurY^H81)</f>
        <v>12</v>
      </c>
      <c r="J81" s="114"/>
      <c r="K81" s="26"/>
      <c r="L81" s="26"/>
      <c r="M81" s="26"/>
      <c r="N81" s="32">
        <v>0</v>
      </c>
      <c r="O81" s="32">
        <v>0</v>
      </c>
      <c r="P81" s="108">
        <f t="array" ref="P81">SUM(Matrice2*ValeurX^G81*ValeurY^H81)</f>
        <v>9</v>
      </c>
      <c r="Q81" s="114"/>
      <c r="R81" s="26"/>
      <c r="S81" s="26"/>
      <c r="T81" s="26"/>
      <c r="U81" s="32">
        <v>0</v>
      </c>
      <c r="V81" s="32">
        <v>0</v>
      </c>
      <c r="W81" s="108">
        <f t="array" ref="W81">SUM(Matrice3*ValeurX^G81*ValeurY^H81)</f>
        <v>10</v>
      </c>
      <c r="X81" s="114"/>
      <c r="Y81" s="26"/>
      <c r="Z81" s="26"/>
      <c r="AA81" s="26"/>
      <c r="AB81" s="32">
        <v>0</v>
      </c>
      <c r="AC81" s="32">
        <v>0</v>
      </c>
      <c r="AD81" s="108">
        <f t="array" ref="AD81">SUM(Matrice4*ValeurX^G81*ValeurY^H81)</f>
        <v>19</v>
      </c>
      <c r="AE81" s="114"/>
      <c r="AF81" s="26"/>
      <c r="AG81" s="26"/>
      <c r="AH81" s="26"/>
      <c r="AI81" s="32">
        <v>0</v>
      </c>
      <c r="AJ81" s="32">
        <v>0</v>
      </c>
      <c r="AK81" s="108">
        <f t="array" ref="AK81">SUM(Matrice5*ValeurX^G81*ValeurY^H81)</f>
        <v>27</v>
      </c>
      <c r="AL81" s="114"/>
      <c r="AM81" s="26"/>
      <c r="AN81" s="26"/>
      <c r="AO81" s="26"/>
      <c r="AP81" s="32">
        <v>0</v>
      </c>
      <c r="AQ81" s="32">
        <v>0</v>
      </c>
      <c r="AR81" s="108">
        <f t="array" ref="AR81">SUM(Matrice6*ValeurX^G81*ValeurY^H81)</f>
        <v>18</v>
      </c>
      <c r="AS81" s="114"/>
      <c r="AT81" s="26"/>
      <c r="AU81" s="26"/>
      <c r="AV81" s="26"/>
      <c r="AW81" s="32">
        <v>0</v>
      </c>
      <c r="AX81" s="32">
        <v>0</v>
      </c>
      <c r="AY81" s="108">
        <f t="array" ref="AY81">SUM(Matrice7*ValeurX^G81*ValeurY^H81)</f>
        <v>16</v>
      </c>
      <c r="AZ81" s="114"/>
      <c r="BA81" s="26"/>
      <c r="BB81" s="26"/>
      <c r="BC81" s="26"/>
      <c r="BD81" s="32">
        <v>0</v>
      </c>
      <c r="BE81" s="32">
        <v>0</v>
      </c>
      <c r="BF81" s="102">
        <f t="array" ref="BF81">SUM(Matrice8*ValeurX^G81*ValeurY^H81)</f>
        <v>20</v>
      </c>
      <c r="BG81" s="103"/>
      <c r="BH81" s="26"/>
      <c r="BI81" s="26"/>
      <c r="BJ81" s="26"/>
      <c r="BK81" s="32">
        <v>0</v>
      </c>
      <c r="BL81" s="32">
        <v>0</v>
      </c>
      <c r="BM81" s="108">
        <f t="array" ref="BM81">SUM(Matrice9*ValeurX^G81*ValeurY^H81)</f>
        <v>9</v>
      </c>
      <c r="BN81" s="114"/>
      <c r="BO81" s="26"/>
      <c r="BP81" s="26"/>
      <c r="BQ81" s="26"/>
      <c r="BR81" s="32">
        <v>0</v>
      </c>
      <c r="BS81" s="32">
        <v>0</v>
      </c>
      <c r="BT81" s="108">
        <f t="array" ref="BT81">SUM(Matrice10*ValeurX^G81*ValeurY^H81)</f>
        <v>16</v>
      </c>
      <c r="BU81" s="109"/>
    </row>
    <row r="82" spans="4:73" ht="16.5" hidden="1" thickTop="1" thickBot="1" x14ac:dyDescent="0.3">
      <c r="D82" s="24" t="s">
        <v>3</v>
      </c>
      <c r="E82" s="26"/>
      <c r="F82" s="26"/>
      <c r="G82" s="30">
        <v>0</v>
      </c>
      <c r="H82" s="30">
        <v>1</v>
      </c>
      <c r="I82" s="110">
        <f t="array" ref="I82">SUM(Matrice1*ValeurX^G82*ValeurY^H82)</f>
        <v>39</v>
      </c>
      <c r="J82" s="115"/>
      <c r="K82" s="26"/>
      <c r="L82" s="26"/>
      <c r="M82" s="26"/>
      <c r="N82" s="30">
        <v>0</v>
      </c>
      <c r="O82" s="30">
        <v>1</v>
      </c>
      <c r="P82" s="110">
        <f t="array" ref="P82">SUM(Matrice2*ValeurX^G82*ValeurY^H82)</f>
        <v>33</v>
      </c>
      <c r="Q82" s="115"/>
      <c r="R82" s="26"/>
      <c r="S82" s="26"/>
      <c r="T82" s="26"/>
      <c r="U82" s="30">
        <v>0</v>
      </c>
      <c r="V82" s="30">
        <v>1</v>
      </c>
      <c r="W82" s="110">
        <f t="array" ref="W82">SUM(Matrice3*ValeurX^G82*ValeurY^H82)</f>
        <v>40</v>
      </c>
      <c r="X82" s="115"/>
      <c r="Y82" s="26"/>
      <c r="Z82" s="26"/>
      <c r="AA82" s="26"/>
      <c r="AB82" s="30">
        <v>0</v>
      </c>
      <c r="AC82" s="30">
        <v>1</v>
      </c>
      <c r="AD82" s="110">
        <f t="array" ref="AD82">SUM(Matrice4*ValeurX^G82*ValeurY^H82)</f>
        <v>93</v>
      </c>
      <c r="AE82" s="115"/>
      <c r="AF82" s="26"/>
      <c r="AG82" s="26"/>
      <c r="AH82" s="26"/>
      <c r="AI82" s="30">
        <v>0</v>
      </c>
      <c r="AJ82" s="30">
        <v>1</v>
      </c>
      <c r="AK82" s="110">
        <f t="array" ref="AK82">SUM(Matrice5*ValeurX^G82*ValeurY^H82)</f>
        <v>134</v>
      </c>
      <c r="AL82" s="115"/>
      <c r="AM82" s="26"/>
      <c r="AN82" s="26"/>
      <c r="AO82" s="26"/>
      <c r="AP82" s="30">
        <v>0</v>
      </c>
      <c r="AQ82" s="30">
        <v>1</v>
      </c>
      <c r="AR82" s="110">
        <f t="array" ref="AR82">SUM(Matrice6*ValeurX^G82*ValeurY^H82)</f>
        <v>90</v>
      </c>
      <c r="AS82" s="115"/>
      <c r="AT82" s="26"/>
      <c r="AU82" s="26"/>
      <c r="AV82" s="26"/>
      <c r="AW82" s="30">
        <v>0</v>
      </c>
      <c r="AX82" s="30">
        <v>1</v>
      </c>
      <c r="AY82" s="110">
        <f t="array" ref="AY82">SUM(Matrice7*ValeurX^G82*ValeurY^H82)</f>
        <v>84</v>
      </c>
      <c r="AZ82" s="115"/>
      <c r="BA82" s="26"/>
      <c r="BB82" s="26"/>
      <c r="BC82" s="26"/>
      <c r="BD82" s="30">
        <v>0</v>
      </c>
      <c r="BE82" s="30">
        <v>1</v>
      </c>
      <c r="BF82" s="104">
        <f t="array" ref="BF82">SUM(Matrice8*ValeurX^G82*ValeurY^H82)</f>
        <v>114</v>
      </c>
      <c r="BG82" s="105"/>
      <c r="BH82" s="26"/>
      <c r="BI82" s="26"/>
      <c r="BJ82" s="26"/>
      <c r="BK82" s="30">
        <v>0</v>
      </c>
      <c r="BL82" s="30">
        <v>1</v>
      </c>
      <c r="BM82" s="110">
        <f t="array" ref="BM82">SUM(Matrice9*ValeurX^G82*ValeurY^H82)</f>
        <v>45</v>
      </c>
      <c r="BN82" s="115"/>
      <c r="BO82" s="26"/>
      <c r="BP82" s="26"/>
      <c r="BQ82" s="26"/>
      <c r="BR82" s="30">
        <v>0</v>
      </c>
      <c r="BS82" s="30">
        <v>1</v>
      </c>
      <c r="BT82" s="110">
        <f t="array" ref="BT82">SUM(Matrice10*ValeurX^G82*ValeurY^H82)</f>
        <v>80</v>
      </c>
      <c r="BU82" s="111"/>
    </row>
    <row r="83" spans="4:73" ht="16.5" hidden="1" thickTop="1" thickBot="1" x14ac:dyDescent="0.3">
      <c r="D83" s="25" t="s">
        <v>4</v>
      </c>
      <c r="E83" s="27"/>
      <c r="F83" s="27"/>
      <c r="G83" s="35">
        <v>1</v>
      </c>
      <c r="H83" s="35">
        <v>0</v>
      </c>
      <c r="I83" s="112">
        <f t="array" ref="I83">SUM(Matrice1*ValeurX^G83*ValeurY^H83)</f>
        <v>42</v>
      </c>
      <c r="J83" s="116"/>
      <c r="K83" s="27"/>
      <c r="L83" s="27"/>
      <c r="M83" s="27"/>
      <c r="N83" s="35">
        <v>1</v>
      </c>
      <c r="O83" s="35">
        <v>0</v>
      </c>
      <c r="P83" s="112">
        <f t="array" ref="P83">SUM(Matrice2*ValeurX^G83*ValeurY^H83)</f>
        <v>57</v>
      </c>
      <c r="Q83" s="116"/>
      <c r="R83" s="27"/>
      <c r="S83" s="27"/>
      <c r="T83" s="27"/>
      <c r="U83" s="35">
        <v>1</v>
      </c>
      <c r="V83" s="35">
        <v>0</v>
      </c>
      <c r="W83" s="112">
        <f t="array" ref="W83">SUM(Matrice3*ValeurX^G83*ValeurY^H83)</f>
        <v>35</v>
      </c>
      <c r="X83" s="116"/>
      <c r="Y83" s="27"/>
      <c r="Z83" s="27"/>
      <c r="AA83" s="27"/>
      <c r="AB83" s="35">
        <v>1</v>
      </c>
      <c r="AC83" s="35">
        <v>0</v>
      </c>
      <c r="AD83" s="112">
        <f t="array" ref="AD83">SUM(Matrice4*ValeurX^G83*ValeurY^H83)</f>
        <v>61</v>
      </c>
      <c r="AE83" s="116"/>
      <c r="AF83" s="27"/>
      <c r="AG83" s="27"/>
      <c r="AH83" s="27"/>
      <c r="AI83" s="35">
        <v>1</v>
      </c>
      <c r="AJ83" s="35">
        <v>0</v>
      </c>
      <c r="AK83" s="112">
        <f t="array" ref="AK83">SUM(Matrice5*ValeurX^G83*ValeurY^H83)</f>
        <v>82</v>
      </c>
      <c r="AL83" s="116"/>
      <c r="AM83" s="27"/>
      <c r="AN83" s="27"/>
      <c r="AO83" s="27"/>
      <c r="AP83" s="35">
        <v>1</v>
      </c>
      <c r="AQ83" s="35">
        <v>0</v>
      </c>
      <c r="AR83" s="112">
        <f t="array" ref="AR83">SUM(Matrice6*ValeurX^G83*ValeurY^H83)</f>
        <v>56</v>
      </c>
      <c r="AS83" s="116"/>
      <c r="AT83" s="27"/>
      <c r="AU83" s="27"/>
      <c r="AV83" s="27"/>
      <c r="AW83" s="35">
        <v>1</v>
      </c>
      <c r="AX83" s="35">
        <v>0</v>
      </c>
      <c r="AY83" s="112">
        <f t="array" ref="AY83">SUM(Matrice7*ValeurX^G83*ValeurY^H83)</f>
        <v>62</v>
      </c>
      <c r="AZ83" s="116"/>
      <c r="BA83" s="27"/>
      <c r="BB83" s="27"/>
      <c r="BC83" s="27"/>
      <c r="BD83" s="35">
        <v>1</v>
      </c>
      <c r="BE83" s="35">
        <v>0</v>
      </c>
      <c r="BF83" s="106">
        <f t="array" ref="BF83">SUM(Matrice8*ValeurX^G83*ValeurY^H83)</f>
        <v>94</v>
      </c>
      <c r="BG83" s="107"/>
      <c r="BH83" s="27"/>
      <c r="BI83" s="27"/>
      <c r="BJ83" s="27"/>
      <c r="BK83" s="35">
        <v>1</v>
      </c>
      <c r="BL83" s="35">
        <v>0</v>
      </c>
      <c r="BM83" s="112">
        <f t="array" ref="BM83">SUM(Matrice9*ValeurX^G83*ValeurY^H83)</f>
        <v>18</v>
      </c>
      <c r="BN83" s="116"/>
      <c r="BO83" s="27"/>
      <c r="BP83" s="27"/>
      <c r="BQ83" s="27"/>
      <c r="BR83" s="35">
        <v>1</v>
      </c>
      <c r="BS83" s="35">
        <v>0</v>
      </c>
      <c r="BT83" s="112">
        <f t="array" ref="BT83">SUM(Matrice10*ValeurX^G83*ValeurY^H83)</f>
        <v>50</v>
      </c>
      <c r="BU83" s="113"/>
    </row>
    <row r="84" spans="4:73" ht="15.75" hidden="1" thickBot="1" x14ac:dyDescent="0.3">
      <c r="D84" s="28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</row>
    <row r="85" spans="4:73" ht="15.75" hidden="1" thickBot="1" x14ac:dyDescent="0.3">
      <c r="D85" s="38" t="s">
        <v>19</v>
      </c>
      <c r="E85" s="22"/>
      <c r="F85" s="22"/>
      <c r="G85" s="22"/>
      <c r="H85" s="22"/>
      <c r="I85" s="33" t="s">
        <v>8</v>
      </c>
      <c r="J85" s="33"/>
      <c r="K85" s="22"/>
      <c r="L85" s="22"/>
      <c r="M85" s="22"/>
      <c r="N85" s="22"/>
      <c r="O85" s="22"/>
      <c r="P85" s="33" t="s">
        <v>8</v>
      </c>
      <c r="Q85" s="33"/>
      <c r="R85" s="22"/>
      <c r="S85" s="22"/>
      <c r="T85" s="22"/>
      <c r="U85" s="22"/>
      <c r="V85" s="22"/>
      <c r="W85" s="33" t="s">
        <v>8</v>
      </c>
      <c r="X85" s="33"/>
      <c r="Y85" s="22"/>
      <c r="Z85" s="22"/>
      <c r="AA85" s="22"/>
      <c r="AB85" s="22"/>
      <c r="AC85" s="22"/>
      <c r="AD85" s="33" t="s">
        <v>8</v>
      </c>
      <c r="AE85" s="33"/>
      <c r="AF85" s="22"/>
      <c r="AG85" s="22"/>
      <c r="AH85" s="22"/>
      <c r="AI85" s="22"/>
      <c r="AJ85" s="22"/>
      <c r="AK85" s="33" t="s">
        <v>8</v>
      </c>
      <c r="AL85" s="33"/>
      <c r="AM85" s="22"/>
      <c r="AN85" s="22"/>
      <c r="AO85" s="22"/>
      <c r="AP85" s="22"/>
      <c r="AQ85" s="22"/>
      <c r="AR85" s="33" t="s">
        <v>8</v>
      </c>
      <c r="AS85" s="33"/>
      <c r="AT85" s="22"/>
      <c r="AU85" s="22"/>
      <c r="AV85" s="22"/>
      <c r="AW85" s="22"/>
      <c r="AX85" s="22"/>
      <c r="AY85" s="33" t="s">
        <v>8</v>
      </c>
      <c r="AZ85" s="33"/>
      <c r="BA85" s="22"/>
      <c r="BB85" s="22"/>
      <c r="BC85" s="22"/>
      <c r="BD85" s="22"/>
      <c r="BE85" s="22"/>
      <c r="BF85" s="33" t="s">
        <v>8</v>
      </c>
      <c r="BG85" s="33"/>
      <c r="BH85" s="22"/>
      <c r="BI85" s="22"/>
      <c r="BJ85" s="22"/>
      <c r="BK85" s="22"/>
      <c r="BL85" s="22"/>
      <c r="BM85" s="33" t="s">
        <v>8</v>
      </c>
      <c r="BN85" s="33"/>
      <c r="BO85" s="22"/>
      <c r="BP85" s="22"/>
      <c r="BQ85" s="22"/>
      <c r="BR85" s="22"/>
      <c r="BS85" s="22"/>
      <c r="BT85" s="33" t="s">
        <v>8</v>
      </c>
      <c r="BU85" s="34"/>
    </row>
    <row r="86" spans="4:73" ht="15.75" hidden="1" thickBot="1" x14ac:dyDescent="0.3">
      <c r="D86" s="36" t="s">
        <v>49</v>
      </c>
      <c r="E86" s="26"/>
      <c r="F86" s="26"/>
      <c r="G86" s="26"/>
      <c r="H86" s="26"/>
      <c r="I86" s="95">
        <f>I83/I81</f>
        <v>3.5</v>
      </c>
      <c r="J86" s="101"/>
      <c r="K86" s="26"/>
      <c r="L86" s="26"/>
      <c r="M86" s="26"/>
      <c r="N86" s="26"/>
      <c r="O86" s="26"/>
      <c r="P86" s="95">
        <f>P83/P81</f>
        <v>6.333333333333333</v>
      </c>
      <c r="Q86" s="101"/>
      <c r="R86" s="26"/>
      <c r="S86" s="26"/>
      <c r="T86" s="26"/>
      <c r="U86" s="26"/>
      <c r="V86" s="26"/>
      <c r="W86" s="95">
        <f>W83/W81</f>
        <v>3.5</v>
      </c>
      <c r="X86" s="101"/>
      <c r="Y86" s="26"/>
      <c r="Z86" s="26"/>
      <c r="AA86" s="26"/>
      <c r="AB86" s="26"/>
      <c r="AC86" s="26"/>
      <c r="AD86" s="95">
        <f>AD83/AD81</f>
        <v>3.2105263157894739</v>
      </c>
      <c r="AE86" s="101"/>
      <c r="AF86" s="26"/>
      <c r="AG86" s="26"/>
      <c r="AH86" s="26"/>
      <c r="AI86" s="26"/>
      <c r="AJ86" s="26"/>
      <c r="AK86" s="95">
        <f>AK83/AK81</f>
        <v>3.0370370370370372</v>
      </c>
      <c r="AL86" s="101"/>
      <c r="AM86" s="26"/>
      <c r="AN86" s="26"/>
      <c r="AO86" s="26"/>
      <c r="AP86" s="26"/>
      <c r="AQ86" s="26"/>
      <c r="AR86" s="95">
        <f>AR83/AR81</f>
        <v>3.1111111111111112</v>
      </c>
      <c r="AS86" s="101"/>
      <c r="AT86" s="26"/>
      <c r="AU86" s="26"/>
      <c r="AV86" s="26"/>
      <c r="AW86" s="26"/>
      <c r="AX86" s="26"/>
      <c r="AY86" s="95">
        <f>AY83/AY81</f>
        <v>3.875</v>
      </c>
      <c r="AZ86" s="101"/>
      <c r="BA86" s="26"/>
      <c r="BB86" s="26"/>
      <c r="BC86" s="26"/>
      <c r="BD86" s="26"/>
      <c r="BE86" s="26"/>
      <c r="BF86" s="95">
        <f>BF83/BF81</f>
        <v>4.7</v>
      </c>
      <c r="BG86" s="101"/>
      <c r="BH86" s="26"/>
      <c r="BI86" s="26"/>
      <c r="BJ86" s="26"/>
      <c r="BK86" s="26"/>
      <c r="BL86" s="26"/>
      <c r="BM86" s="95">
        <f>BM83/BM81</f>
        <v>2</v>
      </c>
      <c r="BN86" s="101"/>
      <c r="BO86" s="26"/>
      <c r="BP86" s="26"/>
      <c r="BQ86" s="26"/>
      <c r="BR86" s="26"/>
      <c r="BS86" s="26"/>
      <c r="BT86" s="95">
        <f>BT83/BT81</f>
        <v>3.125</v>
      </c>
      <c r="BU86" s="96"/>
    </row>
    <row r="87" spans="4:73" ht="16.5" hidden="1" thickTop="1" thickBot="1" x14ac:dyDescent="0.3">
      <c r="D87" s="37" t="s">
        <v>50</v>
      </c>
      <c r="E87" s="27"/>
      <c r="F87" s="27"/>
      <c r="G87" s="27"/>
      <c r="H87" s="27"/>
      <c r="I87" s="93">
        <f>I82/I81</f>
        <v>3.25</v>
      </c>
      <c r="J87" s="94"/>
      <c r="K87" s="27"/>
      <c r="L87" s="27"/>
      <c r="M87" s="27"/>
      <c r="N87" s="27"/>
      <c r="O87" s="27"/>
      <c r="P87" s="93">
        <f>P82/P81</f>
        <v>3.6666666666666665</v>
      </c>
      <c r="Q87" s="94"/>
      <c r="R87" s="27"/>
      <c r="S87" s="27"/>
      <c r="T87" s="27"/>
      <c r="U87" s="27"/>
      <c r="V87" s="27"/>
      <c r="W87" s="93">
        <f>W82/W81</f>
        <v>4</v>
      </c>
      <c r="X87" s="94"/>
      <c r="Y87" s="27"/>
      <c r="Z87" s="27"/>
      <c r="AA87" s="27"/>
      <c r="AB87" s="27"/>
      <c r="AC87" s="27"/>
      <c r="AD87" s="93">
        <f>AD82/AD81</f>
        <v>4.8947368421052628</v>
      </c>
      <c r="AE87" s="94"/>
      <c r="AF87" s="27"/>
      <c r="AG87" s="27"/>
      <c r="AH87" s="27"/>
      <c r="AI87" s="27"/>
      <c r="AJ87" s="27"/>
      <c r="AK87" s="93">
        <f>AK82/AK81</f>
        <v>4.9629629629629628</v>
      </c>
      <c r="AL87" s="94"/>
      <c r="AM87" s="27"/>
      <c r="AN87" s="27"/>
      <c r="AO87" s="27"/>
      <c r="AP87" s="27"/>
      <c r="AQ87" s="27"/>
      <c r="AR87" s="93">
        <f>AR82/AR81</f>
        <v>5</v>
      </c>
      <c r="AS87" s="94"/>
      <c r="AT87" s="27"/>
      <c r="AU87" s="27"/>
      <c r="AV87" s="27"/>
      <c r="AW87" s="27"/>
      <c r="AX87" s="27"/>
      <c r="AY87" s="93">
        <f>AY82/AY81</f>
        <v>5.25</v>
      </c>
      <c r="AZ87" s="94"/>
      <c r="BA87" s="27"/>
      <c r="BB87" s="27"/>
      <c r="BC87" s="27"/>
      <c r="BD87" s="27"/>
      <c r="BE87" s="27"/>
      <c r="BF87" s="93">
        <f>BF82/BF81</f>
        <v>5.7</v>
      </c>
      <c r="BG87" s="94"/>
      <c r="BH87" s="27"/>
      <c r="BI87" s="27"/>
      <c r="BJ87" s="27"/>
      <c r="BK87" s="27"/>
      <c r="BL87" s="27"/>
      <c r="BM87" s="93">
        <f>BM82/BM81</f>
        <v>5</v>
      </c>
      <c r="BN87" s="94"/>
      <c r="BO87" s="27"/>
      <c r="BP87" s="27"/>
      <c r="BQ87" s="27"/>
      <c r="BR87" s="27"/>
      <c r="BS87" s="27"/>
      <c r="BT87" s="93">
        <f>BT82/BT81</f>
        <v>5</v>
      </c>
      <c r="BU87" s="97"/>
    </row>
    <row r="88" spans="4:73" ht="15.75" hidden="1" thickBot="1" x14ac:dyDescent="0.3"/>
    <row r="89" spans="4:73" ht="15.75" hidden="1" thickBot="1" x14ac:dyDescent="0.3">
      <c r="D89" s="42" t="s">
        <v>27</v>
      </c>
      <c r="E89" s="22"/>
      <c r="F89" s="22"/>
      <c r="G89" s="33" t="s">
        <v>9</v>
      </c>
      <c r="H89" s="33" t="s">
        <v>10</v>
      </c>
      <c r="I89" s="33" t="s">
        <v>8</v>
      </c>
      <c r="J89" s="33"/>
      <c r="K89" s="22"/>
      <c r="L89" s="22"/>
      <c r="M89" s="22"/>
      <c r="N89" s="33" t="s">
        <v>9</v>
      </c>
      <c r="O89" s="33" t="s">
        <v>10</v>
      </c>
      <c r="P89" s="33" t="s">
        <v>8</v>
      </c>
      <c r="Q89" s="33"/>
      <c r="R89" s="22"/>
      <c r="S89" s="22"/>
      <c r="T89" s="22"/>
      <c r="U89" s="33" t="s">
        <v>9</v>
      </c>
      <c r="V89" s="33" t="s">
        <v>10</v>
      </c>
      <c r="W89" s="33" t="s">
        <v>8</v>
      </c>
      <c r="X89" s="33"/>
      <c r="Y89" s="22"/>
      <c r="Z89" s="22"/>
      <c r="AA89" s="22"/>
      <c r="AB89" s="33" t="s">
        <v>9</v>
      </c>
      <c r="AC89" s="33" t="s">
        <v>10</v>
      </c>
      <c r="AD89" s="33" t="s">
        <v>8</v>
      </c>
      <c r="AE89" s="33"/>
      <c r="AF89" s="22"/>
      <c r="AG89" s="22"/>
      <c r="AH89" s="22"/>
      <c r="AI89" s="33" t="s">
        <v>9</v>
      </c>
      <c r="AJ89" s="33" t="s">
        <v>10</v>
      </c>
      <c r="AK89" s="33" t="s">
        <v>8</v>
      </c>
      <c r="AL89" s="33"/>
      <c r="AM89" s="22"/>
      <c r="AN89" s="22"/>
      <c r="AO89" s="22"/>
      <c r="AP89" s="33" t="s">
        <v>9</v>
      </c>
      <c r="AQ89" s="33" t="s">
        <v>10</v>
      </c>
      <c r="AR89" s="33" t="s">
        <v>8</v>
      </c>
      <c r="AS89" s="33"/>
      <c r="AT89" s="22"/>
      <c r="AU89" s="22"/>
      <c r="AV89" s="22"/>
      <c r="AW89" s="33" t="s">
        <v>9</v>
      </c>
      <c r="AX89" s="33" t="s">
        <v>10</v>
      </c>
      <c r="AY89" s="33" t="s">
        <v>8</v>
      </c>
      <c r="AZ89" s="33"/>
      <c r="BA89" s="22"/>
      <c r="BB89" s="22"/>
      <c r="BC89" s="22"/>
      <c r="BD89" s="33" t="s">
        <v>9</v>
      </c>
      <c r="BE89" s="33" t="s">
        <v>10</v>
      </c>
      <c r="BF89" s="33" t="s">
        <v>8</v>
      </c>
      <c r="BG89" s="33"/>
      <c r="BH89" s="22"/>
      <c r="BI89" s="22"/>
      <c r="BJ89" s="22"/>
      <c r="BK89" s="33" t="s">
        <v>9</v>
      </c>
      <c r="BL89" s="33" t="s">
        <v>10</v>
      </c>
      <c r="BM89" s="33" t="s">
        <v>8</v>
      </c>
      <c r="BN89" s="33"/>
      <c r="BO89" s="22"/>
      <c r="BP89" s="22"/>
      <c r="BQ89" s="22"/>
      <c r="BR89" s="33" t="s">
        <v>9</v>
      </c>
      <c r="BS89" s="33" t="s">
        <v>10</v>
      </c>
      <c r="BT89" s="33" t="s">
        <v>8</v>
      </c>
      <c r="BU89" s="34"/>
    </row>
    <row r="90" spans="4:73" ht="15.75" hidden="1" thickBot="1" x14ac:dyDescent="0.3">
      <c r="D90" s="43" t="s">
        <v>11</v>
      </c>
      <c r="E90" s="26"/>
      <c r="F90" s="26"/>
      <c r="G90" s="41">
        <v>0</v>
      </c>
      <c r="H90" s="41">
        <v>0</v>
      </c>
      <c r="I90" s="95">
        <f t="array" ref="I90">SUM(Matrice1*IFERROR((ValeurX-$I$86)^G90,1)*IFERROR((ValeurY-$I$87)^H90,1))</f>
        <v>12</v>
      </c>
      <c r="J90" s="101"/>
      <c r="K90" s="26"/>
      <c r="L90" s="26"/>
      <c r="M90" s="26"/>
      <c r="N90" s="41">
        <v>0</v>
      </c>
      <c r="O90" s="41">
        <v>0</v>
      </c>
      <c r="P90" s="95">
        <f t="array" ref="P90">SUM(Matrice2*IFERROR((ValeurX-$P$86)^N90,1)*IFERROR((ValeurY-$P$87)^O90,1))</f>
        <v>9</v>
      </c>
      <c r="Q90" s="101"/>
      <c r="R90" s="26"/>
      <c r="S90" s="26"/>
      <c r="T90" s="26"/>
      <c r="U90" s="41">
        <v>0</v>
      </c>
      <c r="V90" s="41">
        <v>0</v>
      </c>
      <c r="W90" s="95">
        <f t="array" ref="W90">SUM(Matrice3*IFERROR((ValeurX-$W$86)^U90,1)*IFERROR((ValeurY-$W$87)^V90,1))</f>
        <v>10</v>
      </c>
      <c r="X90" s="101"/>
      <c r="Y90" s="26"/>
      <c r="Z90" s="26"/>
      <c r="AA90" s="26"/>
      <c r="AB90" s="41">
        <v>0</v>
      </c>
      <c r="AC90" s="41">
        <v>0</v>
      </c>
      <c r="AD90" s="95">
        <f t="array" ref="AD90">SUM(Matrice4*IFERROR((ValeurX-$AD$86)^AB90,1)*IFERROR((ValeurY-$AD$87)^AC90,1))</f>
        <v>19</v>
      </c>
      <c r="AE90" s="101"/>
      <c r="AF90" s="26"/>
      <c r="AG90" s="26"/>
      <c r="AH90" s="26"/>
      <c r="AI90" s="41">
        <v>0</v>
      </c>
      <c r="AJ90" s="41">
        <v>0</v>
      </c>
      <c r="AK90" s="95">
        <f t="array" ref="AK90">SUM(Matrice5*IFERROR((ValeurX-$AK$86)^AI90,1)*IFERROR((ValeurY-$AK$87)^AJ90,1))</f>
        <v>27</v>
      </c>
      <c r="AL90" s="101"/>
      <c r="AM90" s="26"/>
      <c r="AN90" s="26"/>
      <c r="AO90" s="26"/>
      <c r="AP90" s="41">
        <v>0</v>
      </c>
      <c r="AQ90" s="41">
        <v>0</v>
      </c>
      <c r="AR90" s="95">
        <f t="array" ref="AR90">SUM(Matrice6*IFERROR((ValeurX-$AR$86)^AP90,1)*IFERROR((ValeurY-$AR$87)^AQ90,1))</f>
        <v>18</v>
      </c>
      <c r="AS90" s="101"/>
      <c r="AT90" s="26"/>
      <c r="AU90" s="26"/>
      <c r="AV90" s="26"/>
      <c r="AW90" s="41">
        <v>0</v>
      </c>
      <c r="AX90" s="41">
        <v>0</v>
      </c>
      <c r="AY90" s="95">
        <f t="array" ref="AY90">SUM(Matrice7*IFERROR((ValeurX-$AY$86)^AW90,1)*IFERROR((ValeurY-$AY$87)^AX90,1))</f>
        <v>16</v>
      </c>
      <c r="AZ90" s="101"/>
      <c r="BA90" s="26"/>
      <c r="BB90" s="26"/>
      <c r="BC90" s="26"/>
      <c r="BD90" s="41">
        <v>0</v>
      </c>
      <c r="BE90" s="41">
        <v>0</v>
      </c>
      <c r="BF90" s="102">
        <f t="array" ref="BF90">SUM(Matrice8*IFERROR((ValeurX-$BF$86)^BD90,1)*IFERROR((ValeurY-$BF$87)^BE90,1))</f>
        <v>20</v>
      </c>
      <c r="BG90" s="103"/>
      <c r="BH90" s="26"/>
      <c r="BI90" s="26"/>
      <c r="BJ90" s="26"/>
      <c r="BK90" s="41">
        <v>0</v>
      </c>
      <c r="BL90" s="41">
        <v>0</v>
      </c>
      <c r="BM90" s="95">
        <f t="array" ref="BM90">SUM(Matrice9*IFERROR((ValeurX-$BM$86)^BK90,1)*IFERROR((ValeurY-$BM$87)^BL90,1))</f>
        <v>9</v>
      </c>
      <c r="BN90" s="101"/>
      <c r="BO90" s="26"/>
      <c r="BP90" s="26"/>
      <c r="BQ90" s="26"/>
      <c r="BR90" s="41">
        <v>0</v>
      </c>
      <c r="BS90" s="41">
        <v>0</v>
      </c>
      <c r="BT90" s="95">
        <f t="array" ref="BT90">SUM(Matrice10*IFERROR((ValeurX-$BT$86)^BR90,1)*IFERROR((ValeurY-$BT$87)^BS90,1))</f>
        <v>16</v>
      </c>
      <c r="BU90" s="96"/>
    </row>
    <row r="91" spans="4:73" ht="16.5" hidden="1" thickTop="1" thickBot="1" x14ac:dyDescent="0.3">
      <c r="D91" s="43" t="s">
        <v>12</v>
      </c>
      <c r="E91" s="26"/>
      <c r="F91" s="26"/>
      <c r="G91" s="39">
        <v>2</v>
      </c>
      <c r="H91" s="39">
        <v>0</v>
      </c>
      <c r="I91" s="98">
        <f t="array" ref="I91">SUM(Matrice1*IFERROR((ValeurX-$I$86)^G91,1)*IFERROR((ValeurY-$I$87)^H91,1))</f>
        <v>35</v>
      </c>
      <c r="J91" s="100"/>
      <c r="K91" s="26"/>
      <c r="L91" s="26"/>
      <c r="M91" s="26"/>
      <c r="N91" s="39">
        <v>2</v>
      </c>
      <c r="O91" s="39">
        <v>0</v>
      </c>
      <c r="P91" s="98">
        <f t="array" ref="P91">SUM(Matrice2*IFERROR((ValeurX-$P$86)^N91,1)*IFERROR((ValeurY-$P$87)^O91,1))</f>
        <v>9.9999999999999982</v>
      </c>
      <c r="Q91" s="100"/>
      <c r="R91" s="26"/>
      <c r="S91" s="26"/>
      <c r="T91" s="26"/>
      <c r="U91" s="39">
        <v>2</v>
      </c>
      <c r="V91" s="39">
        <v>0</v>
      </c>
      <c r="W91" s="98">
        <f t="array" ref="W91">SUM(Matrice3*IFERROR((ValeurX-$W$86)^U91,1)*IFERROR((ValeurY-$W$87)^V91,1))</f>
        <v>10.5</v>
      </c>
      <c r="X91" s="100"/>
      <c r="Y91" s="26"/>
      <c r="Z91" s="26"/>
      <c r="AA91" s="26"/>
      <c r="AB91" s="39">
        <v>2</v>
      </c>
      <c r="AC91" s="39">
        <v>0</v>
      </c>
      <c r="AD91" s="98">
        <f t="array" ref="AD91">SUM(Matrice4*IFERROR((ValeurX-$AD$86)^AB91,1)*IFERROR((ValeurY-$AD$87)^AC91,1))</f>
        <v>45.15789473684211</v>
      </c>
      <c r="AE91" s="100"/>
      <c r="AF91" s="26"/>
      <c r="AG91" s="26"/>
      <c r="AH91" s="26"/>
      <c r="AI91" s="39">
        <v>2</v>
      </c>
      <c r="AJ91" s="39">
        <v>0</v>
      </c>
      <c r="AK91" s="98">
        <f t="array" ref="AK91">SUM(Matrice5*IFERROR((ValeurX-$AK$86)^AI91,1)*IFERROR((ValeurY-$AK$87)^AJ91,1))</f>
        <v>74.962962962962976</v>
      </c>
      <c r="AL91" s="100"/>
      <c r="AM91" s="26"/>
      <c r="AN91" s="26"/>
      <c r="AO91" s="26"/>
      <c r="AP91" s="39">
        <v>2</v>
      </c>
      <c r="AQ91" s="39">
        <v>0</v>
      </c>
      <c r="AR91" s="98">
        <f t="array" ref="AR91">SUM(Matrice6*IFERROR((ValeurX-$AR$86)^AP91,1)*IFERROR((ValeurY-$AR$87)^AQ91,1))</f>
        <v>45.777777777777786</v>
      </c>
      <c r="AS91" s="100"/>
      <c r="AT91" s="26"/>
      <c r="AU91" s="26"/>
      <c r="AV91" s="26"/>
      <c r="AW91" s="39">
        <v>2</v>
      </c>
      <c r="AX91" s="39">
        <v>0</v>
      </c>
      <c r="AY91" s="98">
        <f t="array" ref="AY91">SUM(Matrice7*IFERROR((ValeurX-$AY$86)^AW91,1)*IFERROR((ValeurY-$AY$87)^AX91,1))</f>
        <v>33.75</v>
      </c>
      <c r="AZ91" s="100"/>
      <c r="BA91" s="26"/>
      <c r="BB91" s="26"/>
      <c r="BC91" s="26"/>
      <c r="BD91" s="39">
        <v>2</v>
      </c>
      <c r="BE91" s="39">
        <v>0</v>
      </c>
      <c r="BF91" s="104">
        <f t="array" ref="BF91">SUM(Matrice8*IFERROR((ValeurX-$BF$86)^BD91,1)*IFERROR((ValeurY-$BF$87)^BE91,1))</f>
        <v>48.2</v>
      </c>
      <c r="BG91" s="105"/>
      <c r="BH91" s="26"/>
      <c r="BI91" s="26"/>
      <c r="BJ91" s="26"/>
      <c r="BK91" s="39">
        <v>2</v>
      </c>
      <c r="BL91" s="39">
        <v>0</v>
      </c>
      <c r="BM91" s="98">
        <f t="array" ref="BM91">SUM(Matrice9*IFERROR((ValeurX-$BM$86)^BK91,1)*IFERROR((ValeurY-$BM$87)^BL91,1))</f>
        <v>0</v>
      </c>
      <c r="BN91" s="100"/>
      <c r="BO91" s="26"/>
      <c r="BP91" s="26"/>
      <c r="BQ91" s="26"/>
      <c r="BR91" s="39">
        <v>2</v>
      </c>
      <c r="BS91" s="39">
        <v>0</v>
      </c>
      <c r="BT91" s="98">
        <f t="array" ref="BT91">SUM(Matrice10*IFERROR((ValeurX-$BT$86)^BR91,1)*IFERROR((ValeurY-$BT$87)^BS91,1))</f>
        <v>21.75</v>
      </c>
      <c r="BU91" s="99"/>
    </row>
    <row r="92" spans="4:73" ht="16.5" hidden="1" thickTop="1" thickBot="1" x14ac:dyDescent="0.3">
      <c r="D92" s="43" t="s">
        <v>13</v>
      </c>
      <c r="E92" s="26"/>
      <c r="F92" s="26"/>
      <c r="G92" s="39">
        <v>0</v>
      </c>
      <c r="H92" s="39">
        <v>2</v>
      </c>
      <c r="I92" s="98">
        <f t="array" ref="I92">SUM(Matrice1*IFERROR((ValeurX-$I$86)^G92,1)*IFERROR((ValeurY-$I$87)^H92,1))</f>
        <v>26.25</v>
      </c>
      <c r="J92" s="100"/>
      <c r="K92" s="26"/>
      <c r="L92" s="26"/>
      <c r="M92" s="26"/>
      <c r="N92" s="39">
        <v>0</v>
      </c>
      <c r="O92" s="39">
        <v>2</v>
      </c>
      <c r="P92" s="98">
        <f t="array" ref="P92">SUM(Matrice2*IFERROR((ValeurX-$P$86)^N92,1)*IFERROR((ValeurY-$P$87)^O92,1))</f>
        <v>60</v>
      </c>
      <c r="Q92" s="100"/>
      <c r="R92" s="26"/>
      <c r="S92" s="26"/>
      <c r="T92" s="26"/>
      <c r="U92" s="39">
        <v>0</v>
      </c>
      <c r="V92" s="39">
        <v>2</v>
      </c>
      <c r="W92" s="98">
        <f t="array" ref="W92">SUM(Matrice3*IFERROR((ValeurX-$W$86)^U92,1)*IFERROR((ValeurY-$W$87)^V92,1))</f>
        <v>46</v>
      </c>
      <c r="X92" s="100"/>
      <c r="Y92" s="26"/>
      <c r="Z92" s="26"/>
      <c r="AA92" s="26"/>
      <c r="AB92" s="39">
        <v>0</v>
      </c>
      <c r="AC92" s="39">
        <v>2</v>
      </c>
      <c r="AD92" s="98">
        <f t="array" ref="AD92">SUM(Matrice4*IFERROR((ValeurX-$AD$86)^AB92,1)*IFERROR((ValeurY-$AD$87)^AC92,1))</f>
        <v>153.78947368421055</v>
      </c>
      <c r="AE92" s="100"/>
      <c r="AF92" s="26"/>
      <c r="AG92" s="26"/>
      <c r="AH92" s="26"/>
      <c r="AI92" s="39">
        <v>0</v>
      </c>
      <c r="AJ92" s="39">
        <v>2</v>
      </c>
      <c r="AK92" s="98">
        <f t="array" ref="AK92">SUM(Matrice5*IFERROR((ValeurX-$AK$86)^AI92,1)*IFERROR((ValeurY-$AK$87)^AJ92,1))</f>
        <v>208.96296296296291</v>
      </c>
      <c r="AL92" s="100"/>
      <c r="AM92" s="26"/>
      <c r="AN92" s="26"/>
      <c r="AO92" s="26"/>
      <c r="AP92" s="39">
        <v>0</v>
      </c>
      <c r="AQ92" s="39">
        <v>2</v>
      </c>
      <c r="AR92" s="98">
        <f t="array" ref="AR92">SUM(Matrice6*IFERROR((ValeurX-$AR$86)^AP92,1)*IFERROR((ValeurY-$AR$87)^AQ92,1))</f>
        <v>152</v>
      </c>
      <c r="AS92" s="100"/>
      <c r="AT92" s="26"/>
      <c r="AU92" s="26"/>
      <c r="AV92" s="26"/>
      <c r="AW92" s="39">
        <v>0</v>
      </c>
      <c r="AX92" s="39">
        <v>2</v>
      </c>
      <c r="AY92" s="98">
        <f t="array" ref="AY92">SUM(Matrice7*IFERROR((ValeurX-$AY$86)^AW92,1)*IFERROR((ValeurY-$AY$87)^AX92,1))</f>
        <v>139</v>
      </c>
      <c r="AZ92" s="100"/>
      <c r="BA92" s="26"/>
      <c r="BB92" s="26"/>
      <c r="BC92" s="26"/>
      <c r="BD92" s="39">
        <v>0</v>
      </c>
      <c r="BE92" s="39">
        <v>2</v>
      </c>
      <c r="BF92" s="104">
        <f t="array" ref="BF92">SUM(Matrice8*IFERROR((ValeurX-$BF$86)^BD92,1)*IFERROR((ValeurY-$BF$87)^BE92,1))</f>
        <v>160.19999999999996</v>
      </c>
      <c r="BG92" s="105"/>
      <c r="BH92" s="26"/>
      <c r="BI92" s="26"/>
      <c r="BJ92" s="26"/>
      <c r="BK92" s="39">
        <v>0</v>
      </c>
      <c r="BL92" s="39">
        <v>2</v>
      </c>
      <c r="BM92" s="98">
        <f t="array" ref="BM92">SUM(Matrice9*IFERROR((ValeurX-$BM$86)^BK92,1)*IFERROR((ValeurY-$BM$87)^BL92,1))</f>
        <v>60</v>
      </c>
      <c r="BN92" s="100"/>
      <c r="BO92" s="26"/>
      <c r="BP92" s="26"/>
      <c r="BQ92" s="26"/>
      <c r="BR92" s="39">
        <v>0</v>
      </c>
      <c r="BS92" s="39">
        <v>2</v>
      </c>
      <c r="BT92" s="98">
        <f t="array" ref="BT92">SUM(Matrice10*IFERROR((ValeurX-$BT$86)^BR92,1)*IFERROR((ValeurY-$BT$87)^BS92,1))</f>
        <v>124</v>
      </c>
      <c r="BU92" s="99"/>
    </row>
    <row r="93" spans="4:73" ht="16.5" hidden="1" thickTop="1" thickBot="1" x14ac:dyDescent="0.3">
      <c r="D93" s="43" t="s">
        <v>14</v>
      </c>
      <c r="E93" s="26"/>
      <c r="F93" s="26"/>
      <c r="G93" s="39">
        <v>1</v>
      </c>
      <c r="H93" s="39">
        <v>1</v>
      </c>
      <c r="I93" s="98">
        <f t="array" ref="I93">SUM(Matrice1*IFERROR((ValeurX-$I$86)^G93,1)*IFERROR((ValeurY-$I$87)^H93,1))</f>
        <v>10.5</v>
      </c>
      <c r="J93" s="100"/>
      <c r="K93" s="26"/>
      <c r="L93" s="26"/>
      <c r="M93" s="26"/>
      <c r="N93" s="39">
        <v>1</v>
      </c>
      <c r="O93" s="39">
        <v>1</v>
      </c>
      <c r="P93" s="98">
        <f t="array" ref="P93">SUM(Matrice2*IFERROR((ValeurX-$P$86)^N93,1)*IFERROR((ValeurY-$P$87)^O93,1))</f>
        <v>16</v>
      </c>
      <c r="Q93" s="100"/>
      <c r="R93" s="26"/>
      <c r="S93" s="26"/>
      <c r="T93" s="26"/>
      <c r="U93" s="39">
        <v>1</v>
      </c>
      <c r="V93" s="39">
        <v>1</v>
      </c>
      <c r="W93" s="98">
        <f t="array" ref="W93">SUM(Matrice3*IFERROR((ValeurX-$W$86)^U93,1)*IFERROR((ValeurY-$W$87)^V93,1))</f>
        <v>-9</v>
      </c>
      <c r="X93" s="100"/>
      <c r="Y93" s="26"/>
      <c r="Z93" s="26"/>
      <c r="AA93" s="26"/>
      <c r="AB93" s="39">
        <v>1</v>
      </c>
      <c r="AC93" s="39">
        <v>1</v>
      </c>
      <c r="AD93" s="98">
        <f t="array" ref="AD93">SUM(Matrice4*IFERROR((ValeurX-$AD$86)^AB93,1)*IFERROR((ValeurY-$AD$87)^AC93,1))</f>
        <v>8.4210526315789487</v>
      </c>
      <c r="AE93" s="100"/>
      <c r="AF93" s="26"/>
      <c r="AG93" s="26"/>
      <c r="AH93" s="26"/>
      <c r="AI93" s="39">
        <v>1</v>
      </c>
      <c r="AJ93" s="39">
        <v>1</v>
      </c>
      <c r="AK93" s="98">
        <f t="array" ref="AK93">SUM(Matrice5*IFERROR((ValeurX-$AK$86)^AI93,1)*IFERROR((ValeurY-$AK$87)^AJ93,1))</f>
        <v>5.0370370370370345</v>
      </c>
      <c r="AL93" s="100"/>
      <c r="AM93" s="26"/>
      <c r="AN93" s="26"/>
      <c r="AO93" s="26"/>
      <c r="AP93" s="39">
        <v>1</v>
      </c>
      <c r="AQ93" s="39">
        <v>1</v>
      </c>
      <c r="AR93" s="98">
        <f t="array" ref="AR93">SUM(Matrice6*IFERROR((ValeurX-$AR$86)^AP93,1)*IFERROR((ValeurY-$AR$87)^AQ93,1))</f>
        <v>-5</v>
      </c>
      <c r="AS93" s="100"/>
      <c r="AT93" s="26"/>
      <c r="AU93" s="26"/>
      <c r="AV93" s="26"/>
      <c r="AW93" s="39">
        <v>1</v>
      </c>
      <c r="AX93" s="39">
        <v>1</v>
      </c>
      <c r="AY93" s="98">
        <f t="array" ref="AY93">SUM(Matrice7*IFERROR((ValeurX-$AY$86)^AW93,1)*IFERROR((ValeurY-$AY$87)^AX93,1))</f>
        <v>16.5</v>
      </c>
      <c r="AZ93" s="100"/>
      <c r="BA93" s="26"/>
      <c r="BB93" s="26"/>
      <c r="BC93" s="26"/>
      <c r="BD93" s="39">
        <v>1</v>
      </c>
      <c r="BE93" s="39">
        <v>1</v>
      </c>
      <c r="BF93" s="104">
        <f t="array" ref="BF93">SUM(Matrice8*IFERROR((ValeurX-$BF$86)^BD93,1)*IFERROR((ValeurY-$BF$87)^BE93,1))</f>
        <v>16.2</v>
      </c>
      <c r="BG93" s="105"/>
      <c r="BH93" s="26"/>
      <c r="BI93" s="26"/>
      <c r="BJ93" s="26"/>
      <c r="BK93" s="39">
        <v>1</v>
      </c>
      <c r="BL93" s="39">
        <v>1</v>
      </c>
      <c r="BM93" s="98">
        <f t="array" ref="BM93">SUM(Matrice9*IFERROR((ValeurX-$BM$86)^BK93,1)*IFERROR((ValeurY-$BM$87)^BL93,1))</f>
        <v>0</v>
      </c>
      <c r="BN93" s="100"/>
      <c r="BO93" s="26"/>
      <c r="BP93" s="26"/>
      <c r="BQ93" s="26"/>
      <c r="BR93" s="39">
        <v>1</v>
      </c>
      <c r="BS93" s="39">
        <v>1</v>
      </c>
      <c r="BT93" s="98">
        <f t="array" ref="BT93">SUM(Matrice10*IFERROR((ValeurX-$BT$86)^BR93,1)*IFERROR((ValeurY-$BT$87)^BS93,1))</f>
        <v>0</v>
      </c>
      <c r="BU93" s="99"/>
    </row>
    <row r="94" spans="4:73" ht="16.5" hidden="1" thickTop="1" thickBot="1" x14ac:dyDescent="0.3">
      <c r="D94" s="43" t="s">
        <v>15</v>
      </c>
      <c r="E94" s="26"/>
      <c r="F94" s="26"/>
      <c r="G94" s="39">
        <v>3</v>
      </c>
      <c r="H94" s="39">
        <v>0</v>
      </c>
      <c r="I94" s="98">
        <f t="array" ref="I94">SUM(Matrice1*IFERROR((ValeurX-$I$86)^G94,1)*IFERROR((ValeurY-$I$87)^H94,1))</f>
        <v>-30</v>
      </c>
      <c r="J94" s="100"/>
      <c r="K94" s="26"/>
      <c r="L94" s="26"/>
      <c r="M94" s="26"/>
      <c r="N94" s="39">
        <v>3</v>
      </c>
      <c r="O94" s="39">
        <v>0</v>
      </c>
      <c r="P94" s="98">
        <f t="array" ref="P94">SUM(Matrice2*IFERROR((ValeurX-$P$86)^N94,1)*IFERROR((ValeurY-$P$87)^O94,1))</f>
        <v>-13.333333333333318</v>
      </c>
      <c r="Q94" s="100"/>
      <c r="R94" s="26"/>
      <c r="S94" s="26"/>
      <c r="T94" s="26"/>
      <c r="U94" s="39">
        <v>3</v>
      </c>
      <c r="V94" s="39">
        <v>0</v>
      </c>
      <c r="W94" s="98">
        <f t="array" ref="W94">SUM(Matrice3*IFERROR((ValeurX-$W$86)^U94,1)*IFERROR((ValeurY-$W$87)^V94,1))</f>
        <v>0</v>
      </c>
      <c r="X94" s="100"/>
      <c r="Y94" s="26"/>
      <c r="Z94" s="26"/>
      <c r="AA94" s="26"/>
      <c r="AB94" s="39">
        <v>3</v>
      </c>
      <c r="AC94" s="39">
        <v>0</v>
      </c>
      <c r="AD94" s="98">
        <f t="array" ref="AD94">SUM(Matrice4*IFERROR((ValeurX-$AD$86)^AB94,1)*IFERROR((ValeurY-$AD$87)^AC94,1))</f>
        <v>-12.698060941828288</v>
      </c>
      <c r="AE94" s="100"/>
      <c r="AF94" s="26"/>
      <c r="AG94" s="26"/>
      <c r="AH94" s="26"/>
      <c r="AI94" s="39">
        <v>3</v>
      </c>
      <c r="AJ94" s="39">
        <v>0</v>
      </c>
      <c r="AK94" s="98">
        <f t="array" ref="AK94">SUM(Matrice5*IFERROR((ValeurX-$AK$86)^AI94,1)*IFERROR((ValeurY-$AK$87)^AJ94,1))</f>
        <v>-1.3305898491084083</v>
      </c>
      <c r="AL94" s="100"/>
      <c r="AM94" s="26"/>
      <c r="AN94" s="26"/>
      <c r="AO94" s="26"/>
      <c r="AP94" s="39">
        <v>3</v>
      </c>
      <c r="AQ94" s="39">
        <v>0</v>
      </c>
      <c r="AR94" s="98">
        <f t="array" ref="AR94">SUM(Matrice6*IFERROR((ValeurX-$AR$86)^AP94,1)*IFERROR((ValeurY-$AR$87)^AQ94,1))</f>
        <v>-1.2839506172839568</v>
      </c>
      <c r="AS94" s="100"/>
      <c r="AT94" s="26"/>
      <c r="AU94" s="26"/>
      <c r="AV94" s="26"/>
      <c r="AW94" s="39">
        <v>3</v>
      </c>
      <c r="AX94" s="39">
        <v>0</v>
      </c>
      <c r="AY94" s="98">
        <f t="array" ref="AY94">SUM(Matrice7*IFERROR((ValeurX-$AY$86)^AW94,1)*IFERROR((ValeurY-$AY$87)^AX94,1))</f>
        <v>4.6875</v>
      </c>
      <c r="AZ94" s="100"/>
      <c r="BA94" s="26"/>
      <c r="BB94" s="26"/>
      <c r="BC94" s="26"/>
      <c r="BD94" s="39">
        <v>3</v>
      </c>
      <c r="BE94" s="39">
        <v>0</v>
      </c>
      <c r="BF94" s="104">
        <f t="array" ref="BF94">SUM(Matrice8*IFERROR((ValeurX-$BF$86)^BD94,1)*IFERROR((ValeurY-$BF$87)^BE94,1))</f>
        <v>19.919999999999973</v>
      </c>
      <c r="BG94" s="105"/>
      <c r="BH94" s="26"/>
      <c r="BI94" s="26"/>
      <c r="BJ94" s="26"/>
      <c r="BK94" s="39">
        <v>3</v>
      </c>
      <c r="BL94" s="39">
        <v>0</v>
      </c>
      <c r="BM94" s="98">
        <f t="array" ref="BM94">SUM(Matrice9*IFERROR((ValeurX-$BM$86)^BK94,1)*IFERROR((ValeurY-$BM$87)^BL94,1))</f>
        <v>0</v>
      </c>
      <c r="BN94" s="100"/>
      <c r="BO94" s="26"/>
      <c r="BP94" s="26"/>
      <c r="BQ94" s="26"/>
      <c r="BR94" s="39">
        <v>3</v>
      </c>
      <c r="BS94" s="39">
        <v>0</v>
      </c>
      <c r="BT94" s="98">
        <f t="array" ref="BT94">SUM(Matrice10*IFERROR((ValeurX-$BT$86)^BR94,1)*IFERROR((ValeurY-$BT$87)^BS94,1))</f>
        <v>11.8125</v>
      </c>
      <c r="BU94" s="99"/>
    </row>
    <row r="95" spans="4:73" ht="16.5" hidden="1" thickTop="1" thickBot="1" x14ac:dyDescent="0.3">
      <c r="D95" s="43" t="s">
        <v>16</v>
      </c>
      <c r="E95" s="26"/>
      <c r="F95" s="26"/>
      <c r="G95" s="39">
        <v>0</v>
      </c>
      <c r="H95" s="39">
        <v>3</v>
      </c>
      <c r="I95" s="98">
        <f t="array" ref="I95">SUM(Matrice1*IFERROR((ValeurX-$I$86)^G95,1)*IFERROR((ValeurY-$I$87)^H95,1))</f>
        <v>1.125</v>
      </c>
      <c r="J95" s="100"/>
      <c r="K95" s="26"/>
      <c r="L95" s="26"/>
      <c r="M95" s="26"/>
      <c r="N95" s="39">
        <v>0</v>
      </c>
      <c r="O95" s="39">
        <v>3</v>
      </c>
      <c r="P95" s="98">
        <f t="array" ref="P95">SUM(Matrice2*IFERROR((ValeurX-$P$86)^N95,1)*IFERROR((ValeurY-$P$87)^O95,1))</f>
        <v>69.333333333333371</v>
      </c>
      <c r="Q95" s="100"/>
      <c r="R95" s="26"/>
      <c r="S95" s="26"/>
      <c r="T95" s="26"/>
      <c r="U95" s="39">
        <v>0</v>
      </c>
      <c r="V95" s="39">
        <v>3</v>
      </c>
      <c r="W95" s="98">
        <f t="array" ref="W95">SUM(Matrice3*IFERROR((ValeurX-$W$86)^U95,1)*IFERROR((ValeurY-$W$87)^V95,1))</f>
        <v>0</v>
      </c>
      <c r="X95" s="100"/>
      <c r="Y95" s="26"/>
      <c r="Z95" s="26"/>
      <c r="AA95" s="26"/>
      <c r="AB95" s="39">
        <v>0</v>
      </c>
      <c r="AC95" s="39">
        <v>3</v>
      </c>
      <c r="AD95" s="98">
        <f t="array" ref="AD95">SUM(Matrice4*IFERROR((ValeurX-$AD$86)^AB95,1)*IFERROR((ValeurY-$AD$87)^AC95,1))</f>
        <v>76.58725761772871</v>
      </c>
      <c r="AE95" s="100"/>
      <c r="AF95" s="26"/>
      <c r="AG95" s="26"/>
      <c r="AH95" s="26"/>
      <c r="AI95" s="39">
        <v>0</v>
      </c>
      <c r="AJ95" s="39">
        <v>3</v>
      </c>
      <c r="AK95" s="98">
        <f t="array" ref="AK95">SUM(Matrice5*IFERROR((ValeurX-$AK$86)^AI95,1)*IFERROR((ValeurY-$AK$87)^AJ95,1))</f>
        <v>-13.780521262002821</v>
      </c>
      <c r="AL95" s="100"/>
      <c r="AM95" s="26"/>
      <c r="AN95" s="26"/>
      <c r="AO95" s="26"/>
      <c r="AP95" s="39">
        <v>0</v>
      </c>
      <c r="AQ95" s="39">
        <v>3</v>
      </c>
      <c r="AR95" s="98">
        <f t="array" ref="AR95">SUM(Matrice6*IFERROR((ValeurX-$AR$86)^AP95,1)*IFERROR((ValeurY-$AR$87)^AQ95,1))</f>
        <v>0</v>
      </c>
      <c r="AS95" s="100"/>
      <c r="AT95" s="26"/>
      <c r="AU95" s="26"/>
      <c r="AV95" s="26"/>
      <c r="AW95" s="39">
        <v>0</v>
      </c>
      <c r="AX95" s="39">
        <v>3</v>
      </c>
      <c r="AY95" s="98">
        <f t="array" ref="AY95">SUM(Matrice7*IFERROR((ValeurX-$AY$86)^AW95,1)*IFERROR((ValeurY-$AY$87)^AX95,1))</f>
        <v>-40.5</v>
      </c>
      <c r="AZ95" s="100"/>
      <c r="BA95" s="26"/>
      <c r="BB95" s="26"/>
      <c r="BC95" s="26"/>
      <c r="BD95" s="39">
        <v>0</v>
      </c>
      <c r="BE95" s="39">
        <v>3</v>
      </c>
      <c r="BF95" s="104">
        <f t="array" ref="BF95">SUM(Matrice8*IFERROR((ValeurX-$BF$86)^BD95,1)*IFERROR((ValeurY-$BF$87)^BE95,1))</f>
        <v>-179.28000000000014</v>
      </c>
      <c r="BG95" s="105"/>
      <c r="BH95" s="26"/>
      <c r="BI95" s="26"/>
      <c r="BJ95" s="26"/>
      <c r="BK95" s="39">
        <v>0</v>
      </c>
      <c r="BL95" s="39">
        <v>3</v>
      </c>
      <c r="BM95" s="98">
        <f t="array" ref="BM95">SUM(Matrice9*IFERROR((ValeurX-$BM$86)^BK95,1)*IFERROR((ValeurY-$BM$87)^BL95,1))</f>
        <v>0</v>
      </c>
      <c r="BN95" s="100"/>
      <c r="BO95" s="26"/>
      <c r="BP95" s="26"/>
      <c r="BQ95" s="26"/>
      <c r="BR95" s="39">
        <v>0</v>
      </c>
      <c r="BS95" s="39">
        <v>3</v>
      </c>
      <c r="BT95" s="98">
        <f t="array" ref="BT95">SUM(Matrice10*IFERROR((ValeurX-$BT$86)^BR95,1)*IFERROR((ValeurY-$BT$87)^BS95,1))</f>
        <v>0</v>
      </c>
      <c r="BU95" s="99"/>
    </row>
    <row r="96" spans="4:73" ht="16.5" hidden="1" thickTop="1" thickBot="1" x14ac:dyDescent="0.3">
      <c r="D96" s="43" t="s">
        <v>17</v>
      </c>
      <c r="E96" s="26"/>
      <c r="F96" s="26"/>
      <c r="G96" s="39">
        <v>2</v>
      </c>
      <c r="H96" s="39">
        <v>1</v>
      </c>
      <c r="I96" s="98">
        <f t="array" ref="I96">SUM(Matrice1*IFERROR((ValeurX-$I$86)^G96,1)*IFERROR((ValeurY-$I$87)^H96,1))</f>
        <v>-18</v>
      </c>
      <c r="J96" s="100"/>
      <c r="K96" s="26"/>
      <c r="L96" s="26"/>
      <c r="M96" s="26"/>
      <c r="N96" s="39">
        <v>2</v>
      </c>
      <c r="O96" s="39">
        <v>1</v>
      </c>
      <c r="P96" s="98">
        <f t="array" ref="P96">SUM(Matrice2*IFERROR((ValeurX-$P$86)^N96,1)*IFERROR((ValeurY-$P$87)^O96,1))</f>
        <v>-15.999999999999986</v>
      </c>
      <c r="Q96" s="100"/>
      <c r="R96" s="26"/>
      <c r="S96" s="26"/>
      <c r="T96" s="26"/>
      <c r="U96" s="39">
        <v>2</v>
      </c>
      <c r="V96" s="39">
        <v>1</v>
      </c>
      <c r="W96" s="98">
        <f t="array" ref="W96">SUM(Matrice3*IFERROR((ValeurX-$W$86)^U96,1)*IFERROR((ValeurY-$W$87)^V96,1))</f>
        <v>0</v>
      </c>
      <c r="X96" s="100"/>
      <c r="Y96" s="26"/>
      <c r="Z96" s="26"/>
      <c r="AA96" s="26"/>
      <c r="AB96" s="39">
        <v>2</v>
      </c>
      <c r="AC96" s="39">
        <v>1</v>
      </c>
      <c r="AD96" s="98">
        <f t="array" ref="AD96">SUM(Matrice4*IFERROR((ValeurX-$AD$86)^AB96,1)*IFERROR((ValeurY-$AD$87)^AC96,1))</f>
        <v>-6.7036011080332454</v>
      </c>
      <c r="AE96" s="100"/>
      <c r="AF96" s="26"/>
      <c r="AG96" s="26"/>
      <c r="AH96" s="26"/>
      <c r="AI96" s="39">
        <v>2</v>
      </c>
      <c r="AJ96" s="39">
        <v>1</v>
      </c>
      <c r="AK96" s="98">
        <f t="array" ref="AK96">SUM(Matrice5*IFERROR((ValeurX-$AK$86)^AI96,1)*IFERROR((ValeurY-$AK$87)^AJ96,1))</f>
        <v>-10.59533607681754</v>
      </c>
      <c r="AL96" s="100"/>
      <c r="AM96" s="26"/>
      <c r="AN96" s="26"/>
      <c r="AO96" s="26"/>
      <c r="AP96" s="39">
        <v>2</v>
      </c>
      <c r="AQ96" s="39">
        <v>1</v>
      </c>
      <c r="AR96" s="98">
        <f t="array" ref="AR96">SUM(Matrice6*IFERROR((ValeurX-$AR$86)^AP96,1)*IFERROR((ValeurY-$AR$87)^AQ96,1))</f>
        <v>16.111111111111114</v>
      </c>
      <c r="AS96" s="100"/>
      <c r="AT96" s="26"/>
      <c r="AU96" s="26"/>
      <c r="AV96" s="26"/>
      <c r="AW96" s="39">
        <v>2</v>
      </c>
      <c r="AX96" s="39">
        <v>1</v>
      </c>
      <c r="AY96" s="98">
        <f t="array" ref="AY96">SUM(Matrice7*IFERROR((ValeurX-$AY$86)^AW96,1)*IFERROR((ValeurY-$AY$87)^AX96,1))</f>
        <v>11.625</v>
      </c>
      <c r="AZ96" s="100"/>
      <c r="BA96" s="26"/>
      <c r="BB96" s="26"/>
      <c r="BC96" s="26"/>
      <c r="BD96" s="39">
        <v>2</v>
      </c>
      <c r="BE96" s="39">
        <v>1</v>
      </c>
      <c r="BF96" s="104">
        <f t="array" ref="BF96">SUM(Matrice8*IFERROR((ValeurX-$BF$86)^BD96,1)*IFERROR((ValeurY-$BF$87)^BE96,1))</f>
        <v>30.719999999999981</v>
      </c>
      <c r="BG96" s="105"/>
      <c r="BH96" s="26"/>
      <c r="BI96" s="26"/>
      <c r="BJ96" s="26"/>
      <c r="BK96" s="39">
        <v>2</v>
      </c>
      <c r="BL96" s="39">
        <v>1</v>
      </c>
      <c r="BM96" s="98">
        <f t="array" ref="BM96">SUM(Matrice9*IFERROR((ValeurX-$BM$86)^BK96,1)*IFERROR((ValeurY-$BM$87)^BL96,1))</f>
        <v>0</v>
      </c>
      <c r="BN96" s="100"/>
      <c r="BO96" s="26"/>
      <c r="BP96" s="26"/>
      <c r="BQ96" s="26"/>
      <c r="BR96" s="39">
        <v>2</v>
      </c>
      <c r="BS96" s="39">
        <v>1</v>
      </c>
      <c r="BT96" s="98">
        <f t="array" ref="BT96">SUM(Matrice10*IFERROR((ValeurX-$BT$86)^BR96,1)*IFERROR((ValeurY-$BT$87)^BS96,1))</f>
        <v>0</v>
      </c>
      <c r="BU96" s="99"/>
    </row>
    <row r="97" spans="4:73" ht="16.5" hidden="1" thickTop="1" thickBot="1" x14ac:dyDescent="0.3">
      <c r="D97" s="44" t="s">
        <v>18</v>
      </c>
      <c r="E97" s="27"/>
      <c r="F97" s="27"/>
      <c r="G97" s="40">
        <v>1</v>
      </c>
      <c r="H97" s="40">
        <v>2</v>
      </c>
      <c r="I97" s="93">
        <f t="array" ref="I97">SUM(Matrice1*IFERROR((ValeurX-$I$86)^G97,1)*IFERROR((ValeurY-$I$87)^H97,1))</f>
        <v>9.25</v>
      </c>
      <c r="J97" s="94"/>
      <c r="K97" s="27"/>
      <c r="L97" s="27"/>
      <c r="M97" s="27"/>
      <c r="N97" s="40">
        <v>1</v>
      </c>
      <c r="O97" s="40">
        <v>2</v>
      </c>
      <c r="P97" s="93">
        <f t="array" ref="P97">SUM(Matrice2*IFERROR((ValeurX-$P$86)^N97,1)*IFERROR((ValeurY-$P$87)^O97,1))</f>
        <v>-2.666666666666643</v>
      </c>
      <c r="Q97" s="94"/>
      <c r="R97" s="27"/>
      <c r="S97" s="27"/>
      <c r="T97" s="27"/>
      <c r="U97" s="40">
        <v>1</v>
      </c>
      <c r="V97" s="40">
        <v>2</v>
      </c>
      <c r="W97" s="93">
        <f t="array" ref="W97">SUM(Matrice3*IFERROR((ValeurX-$W$86)^U97,1)*IFERROR((ValeurY-$W$87)^V97,1))</f>
        <v>0</v>
      </c>
      <c r="X97" s="94"/>
      <c r="Y97" s="27"/>
      <c r="Z97" s="27"/>
      <c r="AA97" s="27"/>
      <c r="AB97" s="40">
        <v>1</v>
      </c>
      <c r="AC97" s="40">
        <v>2</v>
      </c>
      <c r="AD97" s="93">
        <f t="array" ref="AD97">SUM(Matrice4*IFERROR((ValeurX-$AD$86)^AB97,1)*IFERROR((ValeurY-$AD$87)^AC97,1))</f>
        <v>-6.6481994459834048</v>
      </c>
      <c r="AE97" s="94"/>
      <c r="AF97" s="27"/>
      <c r="AG97" s="27"/>
      <c r="AH97" s="27"/>
      <c r="AI97" s="40">
        <v>1</v>
      </c>
      <c r="AJ97" s="40">
        <v>2</v>
      </c>
      <c r="AK97" s="93">
        <f t="array" ref="AK97">SUM(Matrice5*IFERROR((ValeurX-$AK$86)^AI97,1)*IFERROR((ValeurY-$AK$87)^AJ97,1))</f>
        <v>15.632373113854573</v>
      </c>
      <c r="AL97" s="94"/>
      <c r="AM97" s="27"/>
      <c r="AN97" s="27"/>
      <c r="AO97" s="27"/>
      <c r="AP97" s="40">
        <v>1</v>
      </c>
      <c r="AQ97" s="40">
        <v>2</v>
      </c>
      <c r="AR97" s="117">
        <f t="array" ref="AR97">SUM(Matrice6*IFERROR((ValeurX-$AR$86)^AP97,1)*IFERROR((ValeurY-$AR$87)^AQ97,1))</f>
        <v>-3.8888888888888928</v>
      </c>
      <c r="AS97" s="118"/>
      <c r="AT97" s="27"/>
      <c r="AU97" s="27"/>
      <c r="AV97" s="27"/>
      <c r="AW97" s="40">
        <v>1</v>
      </c>
      <c r="AX97" s="40">
        <v>2</v>
      </c>
      <c r="AY97" s="117">
        <f t="array" ref="AY97">SUM(Matrice7*IFERROR((ValeurX-$AY$86)^AW97,1)*IFERROR((ValeurY-$AY$87)^AX97,1))</f>
        <v>-22.75</v>
      </c>
      <c r="AZ97" s="118"/>
      <c r="BA97" s="27"/>
      <c r="BB97" s="27"/>
      <c r="BC97" s="27"/>
      <c r="BD97" s="40">
        <v>1</v>
      </c>
      <c r="BE97" s="40">
        <v>2</v>
      </c>
      <c r="BF97" s="106">
        <f t="array" ref="BF97">SUM(Matrice8*IFERROR((ValeurX-$BF$86)^BD97,1)*IFERROR((ValeurY-$BF$87)^BE97,1))</f>
        <v>0.31999999999996476</v>
      </c>
      <c r="BG97" s="107"/>
      <c r="BH97" s="27"/>
      <c r="BI97" s="27"/>
      <c r="BJ97" s="27"/>
      <c r="BK97" s="40">
        <v>1</v>
      </c>
      <c r="BL97" s="40">
        <v>2</v>
      </c>
      <c r="BM97" s="93">
        <f t="array" ref="BM97">SUM(Matrice9*IFERROR((ValeurX-$BM$86)^BK97,1)*IFERROR((ValeurY-$BM$87)^BL97,1))</f>
        <v>0</v>
      </c>
      <c r="BN97" s="94"/>
      <c r="BO97" s="27"/>
      <c r="BP97" s="27"/>
      <c r="BQ97" s="27"/>
      <c r="BR97" s="40">
        <v>1</v>
      </c>
      <c r="BS97" s="40">
        <v>2</v>
      </c>
      <c r="BT97" s="117">
        <f t="array" ref="BT97">SUM(Matrice10*IFERROR((ValeurX-$BT$86)^BR97,1)*IFERROR((ValeurY-$BT$87)^BS97,1))</f>
        <v>52.5</v>
      </c>
      <c r="BU97" s="159"/>
    </row>
    <row r="98" spans="4:73" ht="15.75" hidden="1" thickBot="1" x14ac:dyDescent="0.3">
      <c r="AR98" s="22"/>
      <c r="AS98" s="22"/>
      <c r="AY98" s="22"/>
      <c r="AZ98" s="22"/>
      <c r="BM98" s="27"/>
      <c r="BT98" s="22"/>
      <c r="BU98" s="22"/>
    </row>
    <row r="99" spans="4:73" ht="15.75" hidden="1" thickBot="1" x14ac:dyDescent="0.3">
      <c r="D99" s="42" t="s">
        <v>28</v>
      </c>
      <c r="E99" s="22"/>
      <c r="F99" s="22"/>
      <c r="G99" s="33" t="s">
        <v>9</v>
      </c>
      <c r="H99" s="33" t="s">
        <v>10</v>
      </c>
      <c r="I99" s="33" t="s">
        <v>8</v>
      </c>
      <c r="J99" s="33"/>
      <c r="K99" s="22"/>
      <c r="L99" s="22"/>
      <c r="M99" s="22"/>
      <c r="N99" s="33" t="s">
        <v>9</v>
      </c>
      <c r="O99" s="33" t="s">
        <v>10</v>
      </c>
      <c r="P99" s="33" t="s">
        <v>8</v>
      </c>
      <c r="Q99" s="33"/>
      <c r="R99" s="22"/>
      <c r="S99" s="22"/>
      <c r="T99" s="22"/>
      <c r="U99" s="33" t="s">
        <v>9</v>
      </c>
      <c r="V99" s="33" t="s">
        <v>10</v>
      </c>
      <c r="W99" s="33" t="s">
        <v>8</v>
      </c>
      <c r="X99" s="33"/>
      <c r="Y99" s="22"/>
      <c r="Z99" s="22"/>
      <c r="AA99" s="22"/>
      <c r="AB99" s="33" t="s">
        <v>9</v>
      </c>
      <c r="AC99" s="33" t="s">
        <v>10</v>
      </c>
      <c r="AD99" s="33" t="s">
        <v>8</v>
      </c>
      <c r="AE99" s="33"/>
      <c r="AF99" s="22"/>
      <c r="AG99" s="22"/>
      <c r="AH99" s="22"/>
      <c r="AI99" s="33" t="s">
        <v>9</v>
      </c>
      <c r="AJ99" s="33" t="s">
        <v>10</v>
      </c>
      <c r="AK99" s="33" t="s">
        <v>8</v>
      </c>
      <c r="AL99" s="33"/>
      <c r="AM99" s="22"/>
      <c r="AN99" s="22"/>
      <c r="AO99" s="22"/>
      <c r="AP99" s="33" t="s">
        <v>9</v>
      </c>
      <c r="AQ99" s="33" t="s">
        <v>10</v>
      </c>
      <c r="AR99" s="33" t="s">
        <v>8</v>
      </c>
      <c r="AS99" s="33"/>
      <c r="AT99" s="22"/>
      <c r="AU99" s="22"/>
      <c r="AV99" s="22"/>
      <c r="AW99" s="33" t="s">
        <v>9</v>
      </c>
      <c r="AX99" s="33" t="s">
        <v>10</v>
      </c>
      <c r="AY99" s="33" t="s">
        <v>8</v>
      </c>
      <c r="AZ99" s="33"/>
      <c r="BA99" s="22"/>
      <c r="BB99" s="22"/>
      <c r="BC99" s="22"/>
      <c r="BD99" s="33" t="s">
        <v>9</v>
      </c>
      <c r="BE99" s="33" t="s">
        <v>10</v>
      </c>
      <c r="BF99" s="33" t="s">
        <v>8</v>
      </c>
      <c r="BG99" s="33"/>
      <c r="BH99" s="22"/>
      <c r="BI99" s="22"/>
      <c r="BJ99" s="22"/>
      <c r="BK99" s="33" t="s">
        <v>9</v>
      </c>
      <c r="BL99" s="33" t="s">
        <v>10</v>
      </c>
      <c r="BM99" s="33" t="s">
        <v>8</v>
      </c>
      <c r="BN99" s="33"/>
      <c r="BO99" s="22"/>
      <c r="BP99" s="22"/>
      <c r="BQ99" s="22"/>
      <c r="BR99" s="33" t="s">
        <v>9</v>
      </c>
      <c r="BS99" s="33" t="s">
        <v>10</v>
      </c>
      <c r="BT99" s="33" t="s">
        <v>8</v>
      </c>
      <c r="BU99" s="34"/>
    </row>
    <row r="100" spans="4:73" ht="15.75" hidden="1" thickBot="1" x14ac:dyDescent="0.3">
      <c r="D100" s="43" t="s">
        <v>20</v>
      </c>
      <c r="E100" s="26"/>
      <c r="F100" s="26"/>
      <c r="G100" s="41">
        <v>2</v>
      </c>
      <c r="H100" s="41">
        <v>0</v>
      </c>
      <c r="I100" s="95">
        <f>I91/($I$90*(1+(G100+H100)/2))</f>
        <v>1.4583333333333333</v>
      </c>
      <c r="J100" s="101"/>
      <c r="K100" s="26"/>
      <c r="L100" s="26"/>
      <c r="M100" s="26"/>
      <c r="N100" s="41">
        <v>2</v>
      </c>
      <c r="O100" s="41">
        <v>0</v>
      </c>
      <c r="P100" s="95">
        <f>P91/($P$90*(1+(G100+H100)/2))</f>
        <v>0.55555555555555547</v>
      </c>
      <c r="Q100" s="101"/>
      <c r="R100" s="26"/>
      <c r="S100" s="26"/>
      <c r="T100" s="26"/>
      <c r="U100" s="41">
        <v>2</v>
      </c>
      <c r="V100" s="41">
        <v>0</v>
      </c>
      <c r="W100" s="95">
        <f>W91/($W$90*(1+(G100+H100)/2))</f>
        <v>0.52500000000000002</v>
      </c>
      <c r="X100" s="101"/>
      <c r="Y100" s="26"/>
      <c r="Z100" s="26"/>
      <c r="AA100" s="26"/>
      <c r="AB100" s="41">
        <v>2</v>
      </c>
      <c r="AC100" s="41">
        <v>0</v>
      </c>
      <c r="AD100" s="95">
        <f>AD91/($AD$90*(1+(G100+H100)/2))</f>
        <v>1.1883656509695293</v>
      </c>
      <c r="AE100" s="101"/>
      <c r="AF100" s="26"/>
      <c r="AG100" s="26"/>
      <c r="AH100" s="26"/>
      <c r="AI100" s="41">
        <v>2</v>
      </c>
      <c r="AJ100" s="41">
        <v>0</v>
      </c>
      <c r="AK100" s="95">
        <f>AK91/($AK$90*(1+(G100+H100)/2))</f>
        <v>1.3882030178326477</v>
      </c>
      <c r="AL100" s="101"/>
      <c r="AM100" s="26"/>
      <c r="AN100" s="26"/>
      <c r="AO100" s="26"/>
      <c r="AP100" s="41">
        <v>2</v>
      </c>
      <c r="AQ100" s="41">
        <v>0</v>
      </c>
      <c r="AR100" s="95">
        <f>AR91/($AR$90*(1+(G100+H100)/2))</f>
        <v>1.2716049382716053</v>
      </c>
      <c r="AS100" s="101"/>
      <c r="AT100" s="26"/>
      <c r="AU100" s="26"/>
      <c r="AV100" s="26"/>
      <c r="AW100" s="41">
        <v>2</v>
      </c>
      <c r="AX100" s="41">
        <v>0</v>
      </c>
      <c r="AY100" s="95">
        <f>AY91/($AY$90*(1+(G100+H100)/2))</f>
        <v>1.0546875</v>
      </c>
      <c r="AZ100" s="101"/>
      <c r="BA100" s="26"/>
      <c r="BB100" s="26"/>
      <c r="BC100" s="26"/>
      <c r="BD100" s="41">
        <v>2</v>
      </c>
      <c r="BE100" s="41">
        <v>0</v>
      </c>
      <c r="BF100" s="95">
        <f>BF91/($BF$90*(1+(G100+H100)/2))</f>
        <v>1.2050000000000001</v>
      </c>
      <c r="BG100" s="101"/>
      <c r="BH100" s="26"/>
      <c r="BI100" s="26"/>
      <c r="BJ100" s="26"/>
      <c r="BK100" s="41">
        <v>2</v>
      </c>
      <c r="BL100" s="41">
        <v>0</v>
      </c>
      <c r="BM100" s="95">
        <f>BM91/($BM$90*(1+(G100+H100)/2))</f>
        <v>0</v>
      </c>
      <c r="BN100" s="101"/>
      <c r="BO100" s="26"/>
      <c r="BP100" s="26"/>
      <c r="BQ100" s="26"/>
      <c r="BR100" s="41">
        <v>2</v>
      </c>
      <c r="BS100" s="41">
        <v>0</v>
      </c>
      <c r="BT100" s="95">
        <f>BT91/($BT$90*(1+(G100+H100)/2))</f>
        <v>0.6796875</v>
      </c>
      <c r="BU100" s="96"/>
    </row>
    <row r="101" spans="4:73" ht="16.5" hidden="1" thickTop="1" thickBot="1" x14ac:dyDescent="0.3">
      <c r="D101" s="43" t="s">
        <v>21</v>
      </c>
      <c r="E101" s="26"/>
      <c r="F101" s="26"/>
      <c r="G101" s="39">
        <v>0</v>
      </c>
      <c r="H101" s="39">
        <v>2</v>
      </c>
      <c r="I101" s="95">
        <f t="shared" ref="I101:I106" si="27">I92/($I$90*(1+(G101+H101)/2))</f>
        <v>1.09375</v>
      </c>
      <c r="J101" s="101"/>
      <c r="K101" s="26"/>
      <c r="L101" s="26"/>
      <c r="M101" s="26"/>
      <c r="N101" s="39">
        <v>0</v>
      </c>
      <c r="O101" s="39">
        <v>2</v>
      </c>
      <c r="P101" s="98">
        <f t="shared" ref="P101:P106" si="28">P92/($P$90*(1+(G101+H101)/2))</f>
        <v>3.3333333333333335</v>
      </c>
      <c r="Q101" s="100"/>
      <c r="R101" s="26"/>
      <c r="S101" s="26"/>
      <c r="T101" s="26"/>
      <c r="U101" s="39">
        <v>0</v>
      </c>
      <c r="V101" s="39">
        <v>2</v>
      </c>
      <c r="W101" s="95">
        <f t="shared" ref="W101:W106" si="29">W92/($W$90*(1+(G101+H101)/2))</f>
        <v>2.2999999999999998</v>
      </c>
      <c r="X101" s="101"/>
      <c r="Y101" s="26"/>
      <c r="Z101" s="26"/>
      <c r="AA101" s="26"/>
      <c r="AB101" s="39">
        <v>0</v>
      </c>
      <c r="AC101" s="39">
        <v>2</v>
      </c>
      <c r="AD101" s="98">
        <f t="shared" ref="AD101:AD106" si="30">AD92/($AD$90*(1+(G101+H101)/2))</f>
        <v>4.0470914127423825</v>
      </c>
      <c r="AE101" s="100"/>
      <c r="AF101" s="26"/>
      <c r="AG101" s="26"/>
      <c r="AH101" s="26"/>
      <c r="AI101" s="39">
        <v>0</v>
      </c>
      <c r="AJ101" s="39">
        <v>2</v>
      </c>
      <c r="AK101" s="98">
        <f t="shared" ref="AK101:AK106" si="31">AK92/($AK$90*(1+(G101+H101)/2))</f>
        <v>3.8696844993141277</v>
      </c>
      <c r="AL101" s="100"/>
      <c r="AM101" s="26"/>
      <c r="AN101" s="26"/>
      <c r="AO101" s="26"/>
      <c r="AP101" s="39">
        <v>0</v>
      </c>
      <c r="AQ101" s="39">
        <v>2</v>
      </c>
      <c r="AR101" s="98">
        <f t="shared" ref="AR101:AR106" si="32">AR92/($AR$90*(1+(G101+H101)/2))</f>
        <v>4.2222222222222223</v>
      </c>
      <c r="AS101" s="100"/>
      <c r="AT101" s="26"/>
      <c r="AU101" s="26"/>
      <c r="AV101" s="26"/>
      <c r="AW101" s="39">
        <v>0</v>
      </c>
      <c r="AX101" s="39">
        <v>2</v>
      </c>
      <c r="AY101" s="98">
        <f t="shared" ref="AY101:AY106" si="33">AY92/($AY$90*(1+(G101+H101)/2))</f>
        <v>4.34375</v>
      </c>
      <c r="AZ101" s="100"/>
      <c r="BA101" s="26"/>
      <c r="BB101" s="26"/>
      <c r="BC101" s="26"/>
      <c r="BD101" s="39">
        <v>0</v>
      </c>
      <c r="BE101" s="39">
        <v>2</v>
      </c>
      <c r="BF101" s="98">
        <f t="shared" ref="BF101:BF106" si="34">BF92/($BF$90*(1+(G101+H101)/2))</f>
        <v>4.004999999999999</v>
      </c>
      <c r="BG101" s="100"/>
      <c r="BH101" s="26"/>
      <c r="BI101" s="26"/>
      <c r="BJ101" s="26"/>
      <c r="BK101" s="39">
        <v>0</v>
      </c>
      <c r="BL101" s="39">
        <v>2</v>
      </c>
      <c r="BM101" s="98">
        <f t="shared" ref="BM101:BM106" si="35">BM92/($BM$90*(1+(G101+H101)/2))</f>
        <v>3.3333333333333335</v>
      </c>
      <c r="BN101" s="100"/>
      <c r="BO101" s="26"/>
      <c r="BP101" s="26"/>
      <c r="BQ101" s="26"/>
      <c r="BR101" s="39">
        <v>0</v>
      </c>
      <c r="BS101" s="39">
        <v>2</v>
      </c>
      <c r="BT101" s="98">
        <f t="shared" ref="BT101:BT106" si="36">BT92/($BT$90*(1+(G101+H101)/2))</f>
        <v>3.875</v>
      </c>
      <c r="BU101" s="99"/>
    </row>
    <row r="102" spans="4:73" ht="16.5" hidden="1" thickTop="1" thickBot="1" x14ac:dyDescent="0.3">
      <c r="D102" s="43" t="s">
        <v>22</v>
      </c>
      <c r="E102" s="26"/>
      <c r="F102" s="26"/>
      <c r="G102" s="39">
        <v>1</v>
      </c>
      <c r="H102" s="39">
        <v>1</v>
      </c>
      <c r="I102" s="95">
        <f t="shared" si="27"/>
        <v>0.4375</v>
      </c>
      <c r="J102" s="101"/>
      <c r="K102" s="26"/>
      <c r="L102" s="26"/>
      <c r="M102" s="26"/>
      <c r="N102" s="39">
        <v>1</v>
      </c>
      <c r="O102" s="39">
        <v>1</v>
      </c>
      <c r="P102" s="98">
        <f t="shared" si="28"/>
        <v>0.88888888888888884</v>
      </c>
      <c r="Q102" s="100"/>
      <c r="R102" s="26"/>
      <c r="S102" s="26"/>
      <c r="T102" s="26"/>
      <c r="U102" s="39">
        <v>1</v>
      </c>
      <c r="V102" s="39">
        <v>1</v>
      </c>
      <c r="W102" s="95">
        <f t="shared" si="29"/>
        <v>-0.45</v>
      </c>
      <c r="X102" s="101"/>
      <c r="Y102" s="26"/>
      <c r="Z102" s="26"/>
      <c r="AA102" s="26"/>
      <c r="AB102" s="39">
        <v>1</v>
      </c>
      <c r="AC102" s="39">
        <v>1</v>
      </c>
      <c r="AD102" s="98">
        <f t="shared" si="30"/>
        <v>0.221606648199446</v>
      </c>
      <c r="AE102" s="100"/>
      <c r="AF102" s="26"/>
      <c r="AG102" s="26"/>
      <c r="AH102" s="26"/>
      <c r="AI102" s="39">
        <v>1</v>
      </c>
      <c r="AJ102" s="39">
        <v>1</v>
      </c>
      <c r="AK102" s="98">
        <f t="shared" si="31"/>
        <v>9.3278463648833979E-2</v>
      </c>
      <c r="AL102" s="100"/>
      <c r="AM102" s="26"/>
      <c r="AN102" s="26"/>
      <c r="AO102" s="26"/>
      <c r="AP102" s="39">
        <v>1</v>
      </c>
      <c r="AQ102" s="39">
        <v>1</v>
      </c>
      <c r="AR102" s="98">
        <f t="shared" si="32"/>
        <v>-0.1388888888888889</v>
      </c>
      <c r="AS102" s="100"/>
      <c r="AT102" s="26"/>
      <c r="AU102" s="26"/>
      <c r="AV102" s="26"/>
      <c r="AW102" s="39">
        <v>1</v>
      </c>
      <c r="AX102" s="39">
        <v>1</v>
      </c>
      <c r="AY102" s="98">
        <f t="shared" si="33"/>
        <v>0.515625</v>
      </c>
      <c r="AZ102" s="100"/>
      <c r="BA102" s="26"/>
      <c r="BB102" s="26"/>
      <c r="BC102" s="26"/>
      <c r="BD102" s="39">
        <v>1</v>
      </c>
      <c r="BE102" s="39">
        <v>1</v>
      </c>
      <c r="BF102" s="98">
        <f t="shared" si="34"/>
        <v>0.40499999999999997</v>
      </c>
      <c r="BG102" s="100"/>
      <c r="BH102" s="26"/>
      <c r="BI102" s="26"/>
      <c r="BJ102" s="26"/>
      <c r="BK102" s="39">
        <v>1</v>
      </c>
      <c r="BL102" s="39">
        <v>1</v>
      </c>
      <c r="BM102" s="98">
        <f t="shared" si="35"/>
        <v>0</v>
      </c>
      <c r="BN102" s="100"/>
      <c r="BO102" s="26"/>
      <c r="BP102" s="26"/>
      <c r="BQ102" s="26"/>
      <c r="BR102" s="39">
        <v>1</v>
      </c>
      <c r="BS102" s="39">
        <v>1</v>
      </c>
      <c r="BT102" s="98">
        <f t="shared" si="36"/>
        <v>0</v>
      </c>
      <c r="BU102" s="99"/>
    </row>
    <row r="103" spans="4:73" ht="16.5" hidden="1" thickTop="1" thickBot="1" x14ac:dyDescent="0.3">
      <c r="D103" s="43" t="s">
        <v>23</v>
      </c>
      <c r="E103" s="26"/>
      <c r="F103" s="26"/>
      <c r="G103" s="39">
        <v>3</v>
      </c>
      <c r="H103" s="39">
        <v>0</v>
      </c>
      <c r="I103" s="95">
        <f t="shared" si="27"/>
        <v>-1</v>
      </c>
      <c r="J103" s="101"/>
      <c r="K103" s="26"/>
      <c r="L103" s="26"/>
      <c r="M103" s="26"/>
      <c r="N103" s="39">
        <v>3</v>
      </c>
      <c r="O103" s="39">
        <v>0</v>
      </c>
      <c r="P103" s="98">
        <f t="shared" si="28"/>
        <v>-0.59259259259259189</v>
      </c>
      <c r="Q103" s="100"/>
      <c r="R103" s="26"/>
      <c r="S103" s="26"/>
      <c r="T103" s="26"/>
      <c r="U103" s="39">
        <v>3</v>
      </c>
      <c r="V103" s="39">
        <v>0</v>
      </c>
      <c r="W103" s="95">
        <f t="shared" si="29"/>
        <v>0</v>
      </c>
      <c r="X103" s="101"/>
      <c r="Y103" s="26"/>
      <c r="Z103" s="26"/>
      <c r="AA103" s="26"/>
      <c r="AB103" s="39">
        <v>3</v>
      </c>
      <c r="AC103" s="39">
        <v>0</v>
      </c>
      <c r="AD103" s="98">
        <f t="shared" si="30"/>
        <v>-0.26732759877533241</v>
      </c>
      <c r="AE103" s="100"/>
      <c r="AF103" s="26"/>
      <c r="AG103" s="26"/>
      <c r="AH103" s="26"/>
      <c r="AI103" s="39">
        <v>3</v>
      </c>
      <c r="AJ103" s="39">
        <v>0</v>
      </c>
      <c r="AK103" s="98">
        <f t="shared" si="31"/>
        <v>-1.9712442209013456E-2</v>
      </c>
      <c r="AL103" s="100"/>
      <c r="AM103" s="26"/>
      <c r="AN103" s="26"/>
      <c r="AO103" s="26"/>
      <c r="AP103" s="39">
        <v>3</v>
      </c>
      <c r="AQ103" s="39">
        <v>0</v>
      </c>
      <c r="AR103" s="98">
        <f t="shared" si="32"/>
        <v>-2.8532235939643484E-2</v>
      </c>
      <c r="AS103" s="100"/>
      <c r="AT103" s="26"/>
      <c r="AU103" s="26"/>
      <c r="AV103" s="26"/>
      <c r="AW103" s="39">
        <v>3</v>
      </c>
      <c r="AX103" s="39">
        <v>0</v>
      </c>
      <c r="AY103" s="98">
        <f t="shared" si="33"/>
        <v>0.1171875</v>
      </c>
      <c r="AZ103" s="100"/>
      <c r="BA103" s="26"/>
      <c r="BB103" s="26"/>
      <c r="BC103" s="26"/>
      <c r="BD103" s="39">
        <v>3</v>
      </c>
      <c r="BE103" s="39">
        <v>0</v>
      </c>
      <c r="BF103" s="98">
        <f t="shared" si="34"/>
        <v>0.39839999999999948</v>
      </c>
      <c r="BG103" s="100"/>
      <c r="BH103" s="26"/>
      <c r="BI103" s="26"/>
      <c r="BJ103" s="26"/>
      <c r="BK103" s="39">
        <v>3</v>
      </c>
      <c r="BL103" s="39">
        <v>0</v>
      </c>
      <c r="BM103" s="98">
        <f t="shared" si="35"/>
        <v>0</v>
      </c>
      <c r="BN103" s="100"/>
      <c r="BO103" s="26"/>
      <c r="BP103" s="26"/>
      <c r="BQ103" s="26"/>
      <c r="BR103" s="39">
        <v>3</v>
      </c>
      <c r="BS103" s="39">
        <v>0</v>
      </c>
      <c r="BT103" s="98">
        <f t="shared" si="36"/>
        <v>0.29531249999999998</v>
      </c>
      <c r="BU103" s="99"/>
    </row>
    <row r="104" spans="4:73" ht="16.5" hidden="1" thickTop="1" thickBot="1" x14ac:dyDescent="0.3">
      <c r="D104" s="43" t="s">
        <v>24</v>
      </c>
      <c r="E104" s="26"/>
      <c r="F104" s="26"/>
      <c r="G104" s="39">
        <v>0</v>
      </c>
      <c r="H104" s="39">
        <v>3</v>
      </c>
      <c r="I104" s="95">
        <f t="shared" si="27"/>
        <v>3.7499999999999999E-2</v>
      </c>
      <c r="J104" s="101"/>
      <c r="K104" s="26"/>
      <c r="L104" s="26"/>
      <c r="M104" s="26"/>
      <c r="N104" s="39">
        <v>0</v>
      </c>
      <c r="O104" s="39">
        <v>3</v>
      </c>
      <c r="P104" s="98">
        <f t="shared" si="28"/>
        <v>3.0814814814814833</v>
      </c>
      <c r="Q104" s="100"/>
      <c r="R104" s="26"/>
      <c r="S104" s="26"/>
      <c r="T104" s="26"/>
      <c r="U104" s="39">
        <v>0</v>
      </c>
      <c r="V104" s="39">
        <v>3</v>
      </c>
      <c r="W104" s="95">
        <f t="shared" si="29"/>
        <v>0</v>
      </c>
      <c r="X104" s="101"/>
      <c r="Y104" s="26"/>
      <c r="Z104" s="26"/>
      <c r="AA104" s="26"/>
      <c r="AB104" s="39">
        <v>0</v>
      </c>
      <c r="AC104" s="39">
        <v>3</v>
      </c>
      <c r="AD104" s="98">
        <f t="shared" si="30"/>
        <v>1.6123633182679729</v>
      </c>
      <c r="AE104" s="100"/>
      <c r="AF104" s="26"/>
      <c r="AG104" s="26"/>
      <c r="AH104" s="26"/>
      <c r="AI104" s="39">
        <v>0</v>
      </c>
      <c r="AJ104" s="39">
        <v>3</v>
      </c>
      <c r="AK104" s="98">
        <f t="shared" si="31"/>
        <v>-0.20415587054818995</v>
      </c>
      <c r="AL104" s="100"/>
      <c r="AM104" s="26"/>
      <c r="AN104" s="26"/>
      <c r="AO104" s="26"/>
      <c r="AP104" s="39">
        <v>0</v>
      </c>
      <c r="AQ104" s="39">
        <v>3</v>
      </c>
      <c r="AR104" s="98">
        <f t="shared" si="32"/>
        <v>0</v>
      </c>
      <c r="AS104" s="100"/>
      <c r="AT104" s="26"/>
      <c r="AU104" s="26"/>
      <c r="AV104" s="26"/>
      <c r="AW104" s="39">
        <v>0</v>
      </c>
      <c r="AX104" s="39">
        <v>3</v>
      </c>
      <c r="AY104" s="98">
        <f t="shared" si="33"/>
        <v>-1.0125</v>
      </c>
      <c r="AZ104" s="100"/>
      <c r="BA104" s="26"/>
      <c r="BB104" s="26"/>
      <c r="BC104" s="26"/>
      <c r="BD104" s="39">
        <v>0</v>
      </c>
      <c r="BE104" s="39">
        <v>3</v>
      </c>
      <c r="BF104" s="98">
        <f t="shared" si="34"/>
        <v>-3.585600000000003</v>
      </c>
      <c r="BG104" s="100"/>
      <c r="BH104" s="26"/>
      <c r="BI104" s="26"/>
      <c r="BJ104" s="26"/>
      <c r="BK104" s="39">
        <v>0</v>
      </c>
      <c r="BL104" s="39">
        <v>3</v>
      </c>
      <c r="BM104" s="98">
        <f t="shared" si="35"/>
        <v>0</v>
      </c>
      <c r="BN104" s="100"/>
      <c r="BO104" s="26"/>
      <c r="BP104" s="26"/>
      <c r="BQ104" s="26"/>
      <c r="BR104" s="39">
        <v>0</v>
      </c>
      <c r="BS104" s="39">
        <v>3</v>
      </c>
      <c r="BT104" s="98">
        <f t="shared" si="36"/>
        <v>0</v>
      </c>
      <c r="BU104" s="99"/>
    </row>
    <row r="105" spans="4:73" ht="16.5" hidden="1" thickTop="1" thickBot="1" x14ac:dyDescent="0.3">
      <c r="D105" s="43" t="s">
        <v>25</v>
      </c>
      <c r="E105" s="26"/>
      <c r="F105" s="26"/>
      <c r="G105" s="39">
        <v>2</v>
      </c>
      <c r="H105" s="39">
        <v>1</v>
      </c>
      <c r="I105" s="95">
        <f t="shared" si="27"/>
        <v>-0.6</v>
      </c>
      <c r="J105" s="101"/>
      <c r="K105" s="26"/>
      <c r="L105" s="26"/>
      <c r="M105" s="26"/>
      <c r="N105" s="39">
        <v>2</v>
      </c>
      <c r="O105" s="39">
        <v>1</v>
      </c>
      <c r="P105" s="98">
        <f t="shared" si="28"/>
        <v>-0.71111111111111047</v>
      </c>
      <c r="Q105" s="100"/>
      <c r="R105" s="26"/>
      <c r="S105" s="26"/>
      <c r="T105" s="26"/>
      <c r="U105" s="39">
        <v>2</v>
      </c>
      <c r="V105" s="39">
        <v>1</v>
      </c>
      <c r="W105" s="95">
        <f t="shared" si="29"/>
        <v>0</v>
      </c>
      <c r="X105" s="101"/>
      <c r="Y105" s="26"/>
      <c r="Z105" s="26"/>
      <c r="AA105" s="26"/>
      <c r="AB105" s="39">
        <v>2</v>
      </c>
      <c r="AC105" s="39">
        <v>1</v>
      </c>
      <c r="AD105" s="98">
        <f t="shared" si="30"/>
        <v>-0.14112844437964728</v>
      </c>
      <c r="AE105" s="100"/>
      <c r="AF105" s="26"/>
      <c r="AG105" s="26"/>
      <c r="AH105" s="26"/>
      <c r="AI105" s="39">
        <v>2</v>
      </c>
      <c r="AJ105" s="39">
        <v>1</v>
      </c>
      <c r="AK105" s="98">
        <f t="shared" si="31"/>
        <v>-0.15696794187877838</v>
      </c>
      <c r="AL105" s="100"/>
      <c r="AM105" s="26"/>
      <c r="AN105" s="26"/>
      <c r="AO105" s="26"/>
      <c r="AP105" s="39">
        <v>2</v>
      </c>
      <c r="AQ105" s="39">
        <v>1</v>
      </c>
      <c r="AR105" s="98">
        <f t="shared" si="32"/>
        <v>0.35802469135802478</v>
      </c>
      <c r="AS105" s="100"/>
      <c r="AT105" s="26"/>
      <c r="AU105" s="26"/>
      <c r="AV105" s="26"/>
      <c r="AW105" s="39">
        <v>2</v>
      </c>
      <c r="AX105" s="39">
        <v>1</v>
      </c>
      <c r="AY105" s="98">
        <f t="shared" si="33"/>
        <v>0.29062500000000002</v>
      </c>
      <c r="AZ105" s="100"/>
      <c r="BA105" s="26"/>
      <c r="BB105" s="26"/>
      <c r="BC105" s="26"/>
      <c r="BD105" s="39">
        <v>2</v>
      </c>
      <c r="BE105" s="39">
        <v>1</v>
      </c>
      <c r="BF105" s="98">
        <f t="shared" si="34"/>
        <v>0.61439999999999961</v>
      </c>
      <c r="BG105" s="100"/>
      <c r="BH105" s="26"/>
      <c r="BI105" s="26"/>
      <c r="BJ105" s="26"/>
      <c r="BK105" s="39">
        <v>2</v>
      </c>
      <c r="BL105" s="39">
        <v>1</v>
      </c>
      <c r="BM105" s="98">
        <f t="shared" si="35"/>
        <v>0</v>
      </c>
      <c r="BN105" s="100"/>
      <c r="BO105" s="26"/>
      <c r="BP105" s="26"/>
      <c r="BQ105" s="26"/>
      <c r="BR105" s="39">
        <v>2</v>
      </c>
      <c r="BS105" s="39">
        <v>1</v>
      </c>
      <c r="BT105" s="98">
        <f t="shared" si="36"/>
        <v>0</v>
      </c>
      <c r="BU105" s="99"/>
    </row>
    <row r="106" spans="4:73" ht="16.5" hidden="1" thickTop="1" thickBot="1" x14ac:dyDescent="0.3">
      <c r="D106" s="44" t="s">
        <v>26</v>
      </c>
      <c r="E106" s="27"/>
      <c r="F106" s="27"/>
      <c r="G106" s="40">
        <v>1</v>
      </c>
      <c r="H106" s="40">
        <v>2</v>
      </c>
      <c r="I106" s="160">
        <f t="shared" si="27"/>
        <v>0.30833333333333335</v>
      </c>
      <c r="J106" s="161"/>
      <c r="K106" s="80"/>
      <c r="L106" s="27"/>
      <c r="M106" s="27"/>
      <c r="N106" s="40">
        <v>1</v>
      </c>
      <c r="O106" s="40">
        <v>2</v>
      </c>
      <c r="P106" s="93">
        <f t="shared" si="28"/>
        <v>-0.11851851851851747</v>
      </c>
      <c r="Q106" s="94"/>
      <c r="R106" s="27"/>
      <c r="S106" s="27"/>
      <c r="T106" s="27"/>
      <c r="U106" s="40">
        <v>1</v>
      </c>
      <c r="V106" s="40">
        <v>2</v>
      </c>
      <c r="W106" s="160">
        <f t="shared" si="29"/>
        <v>0</v>
      </c>
      <c r="X106" s="161"/>
      <c r="Y106" s="80"/>
      <c r="Z106" s="27"/>
      <c r="AA106" s="27"/>
      <c r="AB106" s="40">
        <v>1</v>
      </c>
      <c r="AC106" s="40">
        <v>2</v>
      </c>
      <c r="AD106" s="93">
        <f t="shared" si="30"/>
        <v>-0.13996209359965062</v>
      </c>
      <c r="AE106" s="94"/>
      <c r="AF106" s="27"/>
      <c r="AG106" s="27"/>
      <c r="AH106" s="27"/>
      <c r="AI106" s="40">
        <v>1</v>
      </c>
      <c r="AJ106" s="40">
        <v>2</v>
      </c>
      <c r="AK106" s="93">
        <f t="shared" si="31"/>
        <v>0.23159071279784552</v>
      </c>
      <c r="AL106" s="94"/>
      <c r="AM106" s="27"/>
      <c r="AN106" s="27"/>
      <c r="AO106" s="27"/>
      <c r="AP106" s="40">
        <v>1</v>
      </c>
      <c r="AQ106" s="40">
        <v>2</v>
      </c>
      <c r="AR106" s="93">
        <f t="shared" si="32"/>
        <v>-8.6419753086419845E-2</v>
      </c>
      <c r="AS106" s="94"/>
      <c r="AT106" s="27"/>
      <c r="AU106" s="27"/>
      <c r="AV106" s="27"/>
      <c r="AW106" s="40">
        <v>1</v>
      </c>
      <c r="AX106" s="40">
        <v>2</v>
      </c>
      <c r="AY106" s="93">
        <f t="shared" si="33"/>
        <v>-0.56874999999999998</v>
      </c>
      <c r="AZ106" s="94"/>
      <c r="BA106" s="27"/>
      <c r="BB106" s="27"/>
      <c r="BC106" s="27"/>
      <c r="BD106" s="40">
        <v>1</v>
      </c>
      <c r="BE106" s="40">
        <v>2</v>
      </c>
      <c r="BF106" s="93">
        <f t="shared" si="34"/>
        <v>6.3999999999992951E-3</v>
      </c>
      <c r="BG106" s="94"/>
      <c r="BH106" s="27"/>
      <c r="BI106" s="27"/>
      <c r="BJ106" s="27"/>
      <c r="BK106" s="40">
        <v>1</v>
      </c>
      <c r="BL106" s="40">
        <v>2</v>
      </c>
      <c r="BM106" s="93">
        <f t="shared" si="35"/>
        <v>0</v>
      </c>
      <c r="BN106" s="94"/>
      <c r="BO106" s="27"/>
      <c r="BP106" s="27"/>
      <c r="BQ106" s="27"/>
      <c r="BR106" s="40">
        <v>1</v>
      </c>
      <c r="BS106" s="40">
        <v>2</v>
      </c>
      <c r="BT106" s="93">
        <f t="shared" si="36"/>
        <v>1.3125</v>
      </c>
      <c r="BU106" s="97"/>
    </row>
    <row r="107" spans="4:73" hidden="1" x14ac:dyDescent="0.25"/>
    <row r="108" spans="4:73" hidden="1" x14ac:dyDescent="0.25"/>
    <row r="109" spans="4:73" hidden="1" x14ac:dyDescent="0.25"/>
    <row r="110" spans="4:73" hidden="1" x14ac:dyDescent="0.25"/>
    <row r="111" spans="4:73" hidden="1" x14ac:dyDescent="0.25"/>
    <row r="115" spans="91:105" x14ac:dyDescent="0.25">
      <c r="CM115" s="153" t="s">
        <v>94</v>
      </c>
      <c r="CN115" s="153"/>
      <c r="CO115" s="153"/>
      <c r="CS115" s="153" t="s">
        <v>96</v>
      </c>
      <c r="CT115" s="153"/>
      <c r="CU115" s="153"/>
      <c r="CV115" s="153"/>
      <c r="CW115" s="153"/>
    </row>
    <row r="116" spans="91:105" x14ac:dyDescent="0.25">
      <c r="CN116" s="119" t="s">
        <v>65</v>
      </c>
      <c r="CO116" s="119"/>
      <c r="CP116">
        <f ca="1">IF(MIN(CP65:DA65)&lt;1,1,0)</f>
        <v>1</v>
      </c>
      <c r="CQ116" s="83"/>
      <c r="CR116" s="83"/>
      <c r="CS116" s="83" t="str">
        <f ca="1">IF(CP116=1,CN116,"")</f>
        <v>Refe1</v>
      </c>
      <c r="CT116" s="83"/>
      <c r="CU116" s="83"/>
      <c r="CV116" s="83"/>
      <c r="CW116" s="83"/>
      <c r="CX116" s="83"/>
      <c r="CY116" s="83"/>
      <c r="CZ116" s="83"/>
      <c r="DA116" s="83"/>
    </row>
    <row r="117" spans="91:105" x14ac:dyDescent="0.25">
      <c r="CN117" s="119" t="s">
        <v>66</v>
      </c>
      <c r="CO117" s="119"/>
      <c r="CP117" s="83">
        <f t="shared" ref="CP117:CP127" ca="1" si="37">IF(MIN(CP66:DA66)&lt;1,1,0)</f>
        <v>0</v>
      </c>
      <c r="CQ117" s="83"/>
      <c r="CR117" s="83"/>
      <c r="CS117" s="83" t="str">
        <f t="shared" ref="CS117:CS127" ca="1" si="38">IF(CP117=1,CN117,"")</f>
        <v/>
      </c>
      <c r="CT117" s="83"/>
      <c r="CU117" s="83"/>
      <c r="CV117" s="83"/>
      <c r="CW117" s="83"/>
      <c r="CX117" s="83"/>
      <c r="CY117" s="83"/>
      <c r="CZ117" s="83"/>
      <c r="DA117" s="83"/>
    </row>
    <row r="118" spans="91:105" x14ac:dyDescent="0.25">
      <c r="CN118" s="119" t="s">
        <v>67</v>
      </c>
      <c r="CO118" s="119"/>
      <c r="CP118" s="83">
        <f t="shared" ca="1" si="37"/>
        <v>1</v>
      </c>
      <c r="CQ118" s="83"/>
      <c r="CR118" s="83"/>
      <c r="CS118" s="83" t="str">
        <f t="shared" ca="1" si="38"/>
        <v>Refe3</v>
      </c>
      <c r="CT118" s="83" t="s">
        <v>95</v>
      </c>
      <c r="CU118" s="153" t="str">
        <f ca="1">CS116&amp;" " &amp; CS117 &amp; " " &amp;CS118&amp;" " &amp;CS119 &amp; " " &amp;CS120 &amp; " " &amp; CS121 &amp; " " &amp; CS122 &amp; " " &amp;CS123 &amp; " " &amp; CS124 &amp; " " &amp; CS125 &amp; " " &amp; CS126 &amp; " " &amp;CS127</f>
        <v xml:space="preserve">Refe1  Refe3   Refe6   Refe9   </v>
      </c>
      <c r="CV118" s="153"/>
      <c r="CW118" s="153"/>
      <c r="CX118" s="83"/>
      <c r="CY118" s="83"/>
      <c r="CZ118" s="83"/>
      <c r="DA118" s="83"/>
    </row>
    <row r="119" spans="91:105" x14ac:dyDescent="0.25">
      <c r="CN119" s="119" t="s">
        <v>68</v>
      </c>
      <c r="CO119" s="119"/>
      <c r="CP119" s="83">
        <f t="shared" ca="1" si="37"/>
        <v>0</v>
      </c>
      <c r="CQ119" s="83"/>
      <c r="CR119" s="83"/>
      <c r="CS119" s="83" t="str">
        <f t="shared" ca="1" si="38"/>
        <v/>
      </c>
      <c r="CT119" s="83"/>
      <c r="CU119" s="83"/>
      <c r="CV119" s="83"/>
      <c r="CW119" s="83"/>
      <c r="CX119" s="83"/>
      <c r="CY119" s="83"/>
      <c r="CZ119" s="83"/>
      <c r="DA119" s="83"/>
    </row>
    <row r="120" spans="91:105" x14ac:dyDescent="0.25">
      <c r="CN120" s="119" t="s">
        <v>69</v>
      </c>
      <c r="CO120" s="119"/>
      <c r="CP120" s="83">
        <f t="shared" ca="1" si="37"/>
        <v>0</v>
      </c>
      <c r="CQ120" s="83"/>
      <c r="CR120" s="83"/>
      <c r="CS120" s="83" t="str">
        <f t="shared" ca="1" si="38"/>
        <v/>
      </c>
      <c r="CT120" s="83"/>
      <c r="CU120" s="83"/>
      <c r="CV120" s="83"/>
      <c r="CW120" s="83"/>
      <c r="CX120" s="83"/>
      <c r="CY120" s="83"/>
      <c r="CZ120" s="83"/>
      <c r="DA120" s="83"/>
    </row>
    <row r="121" spans="91:105" x14ac:dyDescent="0.25">
      <c r="CN121" s="119" t="s">
        <v>70</v>
      </c>
      <c r="CO121" s="119"/>
      <c r="CP121" s="83">
        <f t="shared" ca="1" si="37"/>
        <v>1</v>
      </c>
      <c r="CQ121" s="83"/>
      <c r="CR121" s="83"/>
      <c r="CS121" s="83" t="str">
        <f t="shared" ca="1" si="38"/>
        <v>Refe6</v>
      </c>
      <c r="CT121" s="83"/>
      <c r="CU121" s="83"/>
      <c r="CV121" s="83"/>
      <c r="CW121" s="83"/>
      <c r="CX121" s="83"/>
      <c r="CY121" s="83"/>
      <c r="CZ121" s="83"/>
      <c r="DA121" s="83"/>
    </row>
    <row r="122" spans="91:105" x14ac:dyDescent="0.25">
      <c r="CN122" s="119" t="s">
        <v>71</v>
      </c>
      <c r="CO122" s="119"/>
      <c r="CP122" s="83">
        <f t="shared" ca="1" si="37"/>
        <v>0</v>
      </c>
      <c r="CQ122" s="83"/>
      <c r="CR122" s="83"/>
      <c r="CS122" s="83" t="str">
        <f t="shared" ca="1" si="38"/>
        <v/>
      </c>
      <c r="CT122" s="83"/>
      <c r="CU122" s="83"/>
      <c r="CV122" s="83"/>
      <c r="CW122" s="83"/>
      <c r="CX122" s="83"/>
      <c r="CY122" s="83"/>
      <c r="CZ122" s="83"/>
      <c r="DA122" s="83"/>
    </row>
    <row r="123" spans="91:105" x14ac:dyDescent="0.25">
      <c r="CN123" s="119" t="s">
        <v>72</v>
      </c>
      <c r="CO123" s="119"/>
      <c r="CP123" s="83">
        <f t="shared" ca="1" si="37"/>
        <v>0</v>
      </c>
      <c r="CQ123" s="83"/>
      <c r="CR123" s="83"/>
      <c r="CS123" s="83" t="str">
        <f t="shared" ca="1" si="38"/>
        <v/>
      </c>
      <c r="CT123" s="83"/>
      <c r="CU123" s="83"/>
      <c r="CV123" s="83"/>
      <c r="CW123" s="83"/>
      <c r="CX123" s="83"/>
      <c r="CY123" s="83"/>
      <c r="CZ123" s="83"/>
      <c r="DA123" s="83"/>
    </row>
    <row r="124" spans="91:105" x14ac:dyDescent="0.25">
      <c r="CN124" s="119" t="s">
        <v>73</v>
      </c>
      <c r="CO124" s="119"/>
      <c r="CP124" s="83">
        <f t="shared" ca="1" si="37"/>
        <v>1</v>
      </c>
      <c r="CQ124" s="83"/>
      <c r="CR124" s="83"/>
      <c r="CS124" s="83" t="str">
        <f t="shared" ca="1" si="38"/>
        <v>Refe9</v>
      </c>
      <c r="CT124" s="83"/>
      <c r="CU124" s="83"/>
      <c r="CV124" s="83"/>
      <c r="CW124" s="83"/>
      <c r="CX124" s="83"/>
      <c r="CY124" s="83"/>
      <c r="CZ124" s="83"/>
      <c r="DA124" s="83"/>
    </row>
    <row r="125" spans="91:105" x14ac:dyDescent="0.25">
      <c r="CN125" s="119" t="s">
        <v>74</v>
      </c>
      <c r="CO125" s="119"/>
      <c r="CP125" s="83">
        <f t="shared" ca="1" si="37"/>
        <v>0</v>
      </c>
      <c r="CQ125" s="83"/>
      <c r="CR125" s="83"/>
      <c r="CS125" s="83" t="str">
        <f t="shared" ca="1" si="38"/>
        <v/>
      </c>
      <c r="CT125" s="83"/>
      <c r="CU125" s="83"/>
      <c r="CV125" s="83"/>
      <c r="CW125" s="83"/>
      <c r="CX125" s="83"/>
      <c r="CY125" s="83"/>
      <c r="CZ125" s="83"/>
      <c r="DA125" s="83"/>
    </row>
    <row r="126" spans="91:105" x14ac:dyDescent="0.25">
      <c r="CN126" s="119" t="s">
        <v>75</v>
      </c>
      <c r="CO126" s="119"/>
      <c r="CP126" s="83">
        <f t="shared" ca="1" si="37"/>
        <v>0</v>
      </c>
      <c r="CQ126" s="83"/>
      <c r="CR126" s="83"/>
      <c r="CS126" s="83" t="str">
        <f t="shared" ca="1" si="38"/>
        <v/>
      </c>
      <c r="CT126" s="83"/>
      <c r="CU126" s="83"/>
      <c r="CV126" s="83"/>
      <c r="CW126" s="83"/>
      <c r="CX126" s="83"/>
      <c r="CY126" s="83"/>
      <c r="CZ126" s="83"/>
      <c r="DA126" s="83"/>
    </row>
    <row r="127" spans="91:105" x14ac:dyDescent="0.25">
      <c r="CN127" s="119" t="s">
        <v>76</v>
      </c>
      <c r="CO127" s="119"/>
      <c r="CP127" s="83">
        <f t="shared" ca="1" si="37"/>
        <v>0</v>
      </c>
      <c r="CQ127" s="83"/>
      <c r="CR127" s="83"/>
      <c r="CS127" s="83" t="str">
        <f t="shared" ca="1" si="38"/>
        <v/>
      </c>
      <c r="CT127" s="83"/>
      <c r="CU127" s="83"/>
      <c r="CV127" s="83"/>
      <c r="CW127" s="83"/>
      <c r="CX127" s="83"/>
      <c r="CY127" s="83"/>
      <c r="CZ127" s="83"/>
      <c r="DA127" s="83"/>
    </row>
  </sheetData>
  <mergeCells count="825">
    <mergeCell ref="CN124:CO124"/>
    <mergeCell ref="CN125:CO125"/>
    <mergeCell ref="CN126:CO126"/>
    <mergeCell ref="CN127:CO127"/>
    <mergeCell ref="CS115:CW115"/>
    <mergeCell ref="CU118:CW118"/>
    <mergeCell ref="A60:D68"/>
    <mergeCell ref="F60:K68"/>
    <mergeCell ref="M60:R68"/>
    <mergeCell ref="T60:Y68"/>
    <mergeCell ref="AA60:AF68"/>
    <mergeCell ref="AH60:AM68"/>
    <mergeCell ref="AO60:AT68"/>
    <mergeCell ref="AV60:BA68"/>
    <mergeCell ref="BC60:BH68"/>
    <mergeCell ref="BJ60:BO68"/>
    <mergeCell ref="BQ60:BV68"/>
    <mergeCell ref="BX60:CC68"/>
    <mergeCell ref="CE60:CJ68"/>
    <mergeCell ref="CM115:CO115"/>
    <mergeCell ref="CN116:CO116"/>
    <mergeCell ref="CN117:CO117"/>
    <mergeCell ref="CN118:CO118"/>
    <mergeCell ref="CN119:CO119"/>
    <mergeCell ref="CN120:CO120"/>
    <mergeCell ref="CN121:CO121"/>
    <mergeCell ref="CN122:CO122"/>
    <mergeCell ref="CN123:CO123"/>
    <mergeCell ref="CH37:CI37"/>
    <mergeCell ref="CH38:CI38"/>
    <mergeCell ref="CH39:CI39"/>
    <mergeCell ref="CH40:CI40"/>
    <mergeCell ref="CH41:CI41"/>
    <mergeCell ref="CH30:CI30"/>
    <mergeCell ref="CH31:CI31"/>
    <mergeCell ref="CH32:CI32"/>
    <mergeCell ref="CH35:CI35"/>
    <mergeCell ref="CH36:CI36"/>
    <mergeCell ref="CH25:CI25"/>
    <mergeCell ref="CH26:CI26"/>
    <mergeCell ref="CH27:CI27"/>
    <mergeCell ref="CH28:CI28"/>
    <mergeCell ref="CH29:CI29"/>
    <mergeCell ref="CH16:CI16"/>
    <mergeCell ref="CH17:CI17"/>
    <mergeCell ref="CH18:CI18"/>
    <mergeCell ref="CH21:CI21"/>
    <mergeCell ref="CH22:CI22"/>
    <mergeCell ref="CA37:CB37"/>
    <mergeCell ref="CA38:CB38"/>
    <mergeCell ref="CA39:CB39"/>
    <mergeCell ref="CA40:CB40"/>
    <mergeCell ref="CA41:CB41"/>
    <mergeCell ref="CA30:CB30"/>
    <mergeCell ref="CA31:CB31"/>
    <mergeCell ref="CA32:CB32"/>
    <mergeCell ref="CA35:CB35"/>
    <mergeCell ref="CA36:CB36"/>
    <mergeCell ref="CA25:CB25"/>
    <mergeCell ref="CA26:CB26"/>
    <mergeCell ref="CA27:CB27"/>
    <mergeCell ref="CA28:CB28"/>
    <mergeCell ref="CA29:CB29"/>
    <mergeCell ref="CA16:CB16"/>
    <mergeCell ref="CA17:CB17"/>
    <mergeCell ref="CA18:CB18"/>
    <mergeCell ref="CA21:CB21"/>
    <mergeCell ref="CA22:CB22"/>
    <mergeCell ref="AR41:AS41"/>
    <mergeCell ref="AY41:AZ41"/>
    <mergeCell ref="BF41:BG41"/>
    <mergeCell ref="BM41:BN41"/>
    <mergeCell ref="BT41:BU41"/>
    <mergeCell ref="I41:J41"/>
    <mergeCell ref="P41:Q41"/>
    <mergeCell ref="W41:X41"/>
    <mergeCell ref="AD41:AE41"/>
    <mergeCell ref="AK41:AL41"/>
    <mergeCell ref="AR40:AS40"/>
    <mergeCell ref="AY40:AZ40"/>
    <mergeCell ref="BF40:BG40"/>
    <mergeCell ref="BM40:BN40"/>
    <mergeCell ref="BT40:BU40"/>
    <mergeCell ref="I40:J40"/>
    <mergeCell ref="P40:Q40"/>
    <mergeCell ref="W40:X40"/>
    <mergeCell ref="AD40:AE40"/>
    <mergeCell ref="AK40:AL40"/>
    <mergeCell ref="AR39:AS39"/>
    <mergeCell ref="AY39:AZ39"/>
    <mergeCell ref="BF39:BG39"/>
    <mergeCell ref="BM39:BN39"/>
    <mergeCell ref="BT39:BU39"/>
    <mergeCell ref="I39:J39"/>
    <mergeCell ref="P39:Q39"/>
    <mergeCell ref="W39:X39"/>
    <mergeCell ref="AD39:AE39"/>
    <mergeCell ref="AK39:AL39"/>
    <mergeCell ref="AR38:AS38"/>
    <mergeCell ref="AY38:AZ38"/>
    <mergeCell ref="BF38:BG38"/>
    <mergeCell ref="BM38:BN38"/>
    <mergeCell ref="BT38:BU38"/>
    <mergeCell ref="I38:J38"/>
    <mergeCell ref="P38:Q38"/>
    <mergeCell ref="W38:X38"/>
    <mergeCell ref="AD38:AE38"/>
    <mergeCell ref="AK38:AL38"/>
    <mergeCell ref="AR37:AS37"/>
    <mergeCell ref="AY37:AZ37"/>
    <mergeCell ref="BF37:BG37"/>
    <mergeCell ref="BM37:BN37"/>
    <mergeCell ref="BT37:BU37"/>
    <mergeCell ref="I37:J37"/>
    <mergeCell ref="P37:Q37"/>
    <mergeCell ref="W37:X37"/>
    <mergeCell ref="AD37:AE37"/>
    <mergeCell ref="AK37:AL37"/>
    <mergeCell ref="AR36:AS36"/>
    <mergeCell ref="AY36:AZ36"/>
    <mergeCell ref="BF36:BG36"/>
    <mergeCell ref="BM36:BN36"/>
    <mergeCell ref="BT36:BU36"/>
    <mergeCell ref="I36:J36"/>
    <mergeCell ref="P36:Q36"/>
    <mergeCell ref="W36:X36"/>
    <mergeCell ref="AD36:AE36"/>
    <mergeCell ref="AK36:AL36"/>
    <mergeCell ref="AR35:AS35"/>
    <mergeCell ref="AY35:AZ35"/>
    <mergeCell ref="BF35:BG35"/>
    <mergeCell ref="BM35:BN35"/>
    <mergeCell ref="BT35:BU35"/>
    <mergeCell ref="I35:J35"/>
    <mergeCell ref="P35:Q35"/>
    <mergeCell ref="W35:X35"/>
    <mergeCell ref="AD35:AE35"/>
    <mergeCell ref="AK35:AL35"/>
    <mergeCell ref="AR32:AS32"/>
    <mergeCell ref="AY32:AZ32"/>
    <mergeCell ref="BF32:BG32"/>
    <mergeCell ref="BM32:BN32"/>
    <mergeCell ref="BT32:BU32"/>
    <mergeCell ref="I32:J32"/>
    <mergeCell ref="P32:Q32"/>
    <mergeCell ref="W32:X32"/>
    <mergeCell ref="AD32:AE32"/>
    <mergeCell ref="AK32:AL32"/>
    <mergeCell ref="AR31:AS31"/>
    <mergeCell ref="AY31:AZ31"/>
    <mergeCell ref="BF31:BG31"/>
    <mergeCell ref="BM31:BN31"/>
    <mergeCell ref="BT31:BU31"/>
    <mergeCell ref="I31:J31"/>
    <mergeCell ref="P31:Q31"/>
    <mergeCell ref="W31:X31"/>
    <mergeCell ref="AD31:AE31"/>
    <mergeCell ref="AK31:AL31"/>
    <mergeCell ref="AR30:AS30"/>
    <mergeCell ref="AY30:AZ30"/>
    <mergeCell ref="BF30:BG30"/>
    <mergeCell ref="BM30:BN30"/>
    <mergeCell ref="BT30:BU30"/>
    <mergeCell ref="I30:J30"/>
    <mergeCell ref="P30:Q30"/>
    <mergeCell ref="W30:X30"/>
    <mergeCell ref="AD30:AE30"/>
    <mergeCell ref="AK30:AL30"/>
    <mergeCell ref="AR29:AS29"/>
    <mergeCell ref="AY29:AZ29"/>
    <mergeCell ref="BF29:BG29"/>
    <mergeCell ref="BM29:BN29"/>
    <mergeCell ref="BT29:BU29"/>
    <mergeCell ref="I29:J29"/>
    <mergeCell ref="P29:Q29"/>
    <mergeCell ref="W29:X29"/>
    <mergeCell ref="AD29:AE29"/>
    <mergeCell ref="AK29:AL29"/>
    <mergeCell ref="AR28:AS28"/>
    <mergeCell ref="AY28:AZ28"/>
    <mergeCell ref="BF28:BG28"/>
    <mergeCell ref="BM28:BN28"/>
    <mergeCell ref="BT28:BU28"/>
    <mergeCell ref="I28:J28"/>
    <mergeCell ref="P28:Q28"/>
    <mergeCell ref="W28:X28"/>
    <mergeCell ref="AD28:AE28"/>
    <mergeCell ref="AK28:AL28"/>
    <mergeCell ref="AR27:AS27"/>
    <mergeCell ref="AY27:AZ27"/>
    <mergeCell ref="BF27:BG27"/>
    <mergeCell ref="BM27:BN27"/>
    <mergeCell ref="BT27:BU27"/>
    <mergeCell ref="I27:J27"/>
    <mergeCell ref="P27:Q27"/>
    <mergeCell ref="W27:X27"/>
    <mergeCell ref="AD27:AE27"/>
    <mergeCell ref="AK27:AL27"/>
    <mergeCell ref="AR26:AS26"/>
    <mergeCell ref="AY26:AZ26"/>
    <mergeCell ref="BF26:BG26"/>
    <mergeCell ref="BM26:BN26"/>
    <mergeCell ref="BT26:BU26"/>
    <mergeCell ref="I26:J26"/>
    <mergeCell ref="P26:Q26"/>
    <mergeCell ref="W26:X26"/>
    <mergeCell ref="AD26:AE26"/>
    <mergeCell ref="AK26:AL26"/>
    <mergeCell ref="AR25:AS25"/>
    <mergeCell ref="AY25:AZ25"/>
    <mergeCell ref="BF25:BG25"/>
    <mergeCell ref="BM25:BN25"/>
    <mergeCell ref="BT25:BU25"/>
    <mergeCell ref="I25:J25"/>
    <mergeCell ref="P25:Q25"/>
    <mergeCell ref="W25:X25"/>
    <mergeCell ref="AD25:AE25"/>
    <mergeCell ref="AK25:AL25"/>
    <mergeCell ref="AR22:AS22"/>
    <mergeCell ref="AY22:AZ22"/>
    <mergeCell ref="BF22:BG22"/>
    <mergeCell ref="BM22:BN22"/>
    <mergeCell ref="BT22:BU22"/>
    <mergeCell ref="I22:J22"/>
    <mergeCell ref="P22:Q22"/>
    <mergeCell ref="W22:X22"/>
    <mergeCell ref="AD22:AE22"/>
    <mergeCell ref="AK22:AL22"/>
    <mergeCell ref="BM18:BN18"/>
    <mergeCell ref="BT18:BU18"/>
    <mergeCell ref="I18:J18"/>
    <mergeCell ref="P18:Q18"/>
    <mergeCell ref="W18:X18"/>
    <mergeCell ref="AD18:AE18"/>
    <mergeCell ref="AK18:AL18"/>
    <mergeCell ref="AR21:AS21"/>
    <mergeCell ref="AY21:AZ21"/>
    <mergeCell ref="BF21:BG21"/>
    <mergeCell ref="BM21:BN21"/>
    <mergeCell ref="BT21:BU21"/>
    <mergeCell ref="I21:J21"/>
    <mergeCell ref="P21:Q21"/>
    <mergeCell ref="W21:X21"/>
    <mergeCell ref="AD21:AE21"/>
    <mergeCell ref="AK21:AL21"/>
    <mergeCell ref="CV21:CX21"/>
    <mergeCell ref="AR17:AS17"/>
    <mergeCell ref="AY17:AZ17"/>
    <mergeCell ref="BF17:BG17"/>
    <mergeCell ref="BM17:BN17"/>
    <mergeCell ref="BT17:BU17"/>
    <mergeCell ref="I16:J16"/>
    <mergeCell ref="P16:Q16"/>
    <mergeCell ref="W16:X16"/>
    <mergeCell ref="AD16:AE16"/>
    <mergeCell ref="AK16:AL16"/>
    <mergeCell ref="AR16:AS16"/>
    <mergeCell ref="AY16:AZ16"/>
    <mergeCell ref="BF16:BG16"/>
    <mergeCell ref="BM16:BN16"/>
    <mergeCell ref="BT16:BU16"/>
    <mergeCell ref="I17:J17"/>
    <mergeCell ref="P17:Q17"/>
    <mergeCell ref="W17:X17"/>
    <mergeCell ref="AD17:AE17"/>
    <mergeCell ref="AK17:AL17"/>
    <mergeCell ref="AR18:AS18"/>
    <mergeCell ref="AY18:AZ18"/>
    <mergeCell ref="BF18:BG18"/>
    <mergeCell ref="AR81:AS81"/>
    <mergeCell ref="AY81:AZ81"/>
    <mergeCell ref="I82:J82"/>
    <mergeCell ref="P82:Q82"/>
    <mergeCell ref="W82:X82"/>
    <mergeCell ref="AD82:AE82"/>
    <mergeCell ref="AK82:AL82"/>
    <mergeCell ref="AR82:AS82"/>
    <mergeCell ref="AY82:AZ82"/>
    <mergeCell ref="I81:J81"/>
    <mergeCell ref="P81:Q81"/>
    <mergeCell ref="W81:X81"/>
    <mergeCell ref="AD81:AE81"/>
    <mergeCell ref="AK81:AL81"/>
    <mergeCell ref="AR83:AS83"/>
    <mergeCell ref="AY83:AZ83"/>
    <mergeCell ref="I86:J86"/>
    <mergeCell ref="P86:Q86"/>
    <mergeCell ref="W86:X86"/>
    <mergeCell ref="AD86:AE86"/>
    <mergeCell ref="AK86:AL86"/>
    <mergeCell ref="AR86:AS86"/>
    <mergeCell ref="I87:J87"/>
    <mergeCell ref="P87:Q87"/>
    <mergeCell ref="W87:X87"/>
    <mergeCell ref="AD87:AE87"/>
    <mergeCell ref="AK87:AL87"/>
    <mergeCell ref="AR87:AS87"/>
    <mergeCell ref="AY86:AZ86"/>
    <mergeCell ref="AY87:AZ87"/>
    <mergeCell ref="I83:J83"/>
    <mergeCell ref="P83:Q83"/>
    <mergeCell ref="W83:X83"/>
    <mergeCell ref="AD83:AE83"/>
    <mergeCell ref="AK83:AL83"/>
    <mergeCell ref="AR90:AS90"/>
    <mergeCell ref="I91:J91"/>
    <mergeCell ref="P91:Q91"/>
    <mergeCell ref="W91:X91"/>
    <mergeCell ref="AD91:AE91"/>
    <mergeCell ref="AK91:AL91"/>
    <mergeCell ref="AR91:AS91"/>
    <mergeCell ref="I92:J92"/>
    <mergeCell ref="P92:Q92"/>
    <mergeCell ref="W92:X92"/>
    <mergeCell ref="AD92:AE92"/>
    <mergeCell ref="AK92:AL92"/>
    <mergeCell ref="AR92:AS92"/>
    <mergeCell ref="I90:J90"/>
    <mergeCell ref="P90:Q90"/>
    <mergeCell ref="W90:X90"/>
    <mergeCell ref="AD90:AE90"/>
    <mergeCell ref="AK90:AL90"/>
    <mergeCell ref="AR93:AS93"/>
    <mergeCell ref="I94:J94"/>
    <mergeCell ref="P94:Q94"/>
    <mergeCell ref="W94:X94"/>
    <mergeCell ref="AD94:AE94"/>
    <mergeCell ref="AK94:AL94"/>
    <mergeCell ref="AR94:AS94"/>
    <mergeCell ref="I95:J95"/>
    <mergeCell ref="P95:Q95"/>
    <mergeCell ref="W95:X95"/>
    <mergeCell ref="AD95:AE95"/>
    <mergeCell ref="AK95:AL95"/>
    <mergeCell ref="AR95:AS95"/>
    <mergeCell ref="I93:J93"/>
    <mergeCell ref="P93:Q93"/>
    <mergeCell ref="W93:X93"/>
    <mergeCell ref="AD93:AE93"/>
    <mergeCell ref="AK93:AL93"/>
    <mergeCell ref="AR96:AS96"/>
    <mergeCell ref="I97:J97"/>
    <mergeCell ref="P97:Q97"/>
    <mergeCell ref="W97:X97"/>
    <mergeCell ref="AD97:AE97"/>
    <mergeCell ref="AK97:AL97"/>
    <mergeCell ref="AR97:AS97"/>
    <mergeCell ref="I100:J100"/>
    <mergeCell ref="P100:Q100"/>
    <mergeCell ref="W100:X100"/>
    <mergeCell ref="AD100:AE100"/>
    <mergeCell ref="AK100:AL100"/>
    <mergeCell ref="AR100:AS100"/>
    <mergeCell ref="I96:J96"/>
    <mergeCell ref="P96:Q96"/>
    <mergeCell ref="W96:X96"/>
    <mergeCell ref="AD96:AE96"/>
    <mergeCell ref="AK96:AL96"/>
    <mergeCell ref="I101:J101"/>
    <mergeCell ref="P101:Q101"/>
    <mergeCell ref="W101:X101"/>
    <mergeCell ref="AD101:AE101"/>
    <mergeCell ref="AK101:AL101"/>
    <mergeCell ref="AR101:AS101"/>
    <mergeCell ref="I102:J102"/>
    <mergeCell ref="P102:Q102"/>
    <mergeCell ref="W102:X102"/>
    <mergeCell ref="AD102:AE102"/>
    <mergeCell ref="AK102:AL102"/>
    <mergeCell ref="AR102:AS102"/>
    <mergeCell ref="I103:J103"/>
    <mergeCell ref="P103:Q103"/>
    <mergeCell ref="W103:X103"/>
    <mergeCell ref="AD103:AE103"/>
    <mergeCell ref="AK103:AL103"/>
    <mergeCell ref="AR103:AS103"/>
    <mergeCell ref="I104:J104"/>
    <mergeCell ref="P104:Q104"/>
    <mergeCell ref="W104:X104"/>
    <mergeCell ref="AD104:AE104"/>
    <mergeCell ref="AK104:AL104"/>
    <mergeCell ref="AR104:AS104"/>
    <mergeCell ref="I105:J105"/>
    <mergeCell ref="P105:Q105"/>
    <mergeCell ref="W105:X105"/>
    <mergeCell ref="AD105:AE105"/>
    <mergeCell ref="AK105:AL105"/>
    <mergeCell ref="AR105:AS105"/>
    <mergeCell ref="I106:J106"/>
    <mergeCell ref="P106:Q106"/>
    <mergeCell ref="W106:X106"/>
    <mergeCell ref="AD106:AE106"/>
    <mergeCell ref="AK106:AL106"/>
    <mergeCell ref="AR106:AS106"/>
    <mergeCell ref="AY90:AZ90"/>
    <mergeCell ref="AY91:AZ91"/>
    <mergeCell ref="AY92:AZ92"/>
    <mergeCell ref="AY93:AZ93"/>
    <mergeCell ref="AY94:AZ94"/>
    <mergeCell ref="AY95:AZ95"/>
    <mergeCell ref="AY96:AZ96"/>
    <mergeCell ref="AY97:AZ97"/>
    <mergeCell ref="AY100:AZ100"/>
    <mergeCell ref="AY101:AZ101"/>
    <mergeCell ref="AY102:AZ102"/>
    <mergeCell ref="AY103:AZ103"/>
    <mergeCell ref="AY104:AZ104"/>
    <mergeCell ref="AY105:AZ105"/>
    <mergeCell ref="AY106:AZ106"/>
    <mergeCell ref="BF81:BG81"/>
    <mergeCell ref="BF82:BG82"/>
    <mergeCell ref="BF83:BG83"/>
    <mergeCell ref="BF86:BG86"/>
    <mergeCell ref="BF87:BG87"/>
    <mergeCell ref="BF90:BG90"/>
    <mergeCell ref="BF91:BG91"/>
    <mergeCell ref="BF92:BG92"/>
    <mergeCell ref="BF93:BG93"/>
    <mergeCell ref="BF94:BG94"/>
    <mergeCell ref="BF95:BG95"/>
    <mergeCell ref="BF96:BG96"/>
    <mergeCell ref="BF97:BG97"/>
    <mergeCell ref="BF100:BG100"/>
    <mergeCell ref="BF101:BG101"/>
    <mergeCell ref="BF102:BG102"/>
    <mergeCell ref="BF103:BG103"/>
    <mergeCell ref="BF104:BG104"/>
    <mergeCell ref="BT93:BU93"/>
    <mergeCell ref="BF105:BG105"/>
    <mergeCell ref="BT105:BU105"/>
    <mergeCell ref="BF106:BG106"/>
    <mergeCell ref="BM81:BN81"/>
    <mergeCell ref="BM82:BN82"/>
    <mergeCell ref="BM83:BN83"/>
    <mergeCell ref="BM86:BN86"/>
    <mergeCell ref="BM87:BN87"/>
    <mergeCell ref="BM90:BN90"/>
    <mergeCell ref="BM91:BN91"/>
    <mergeCell ref="BM92:BN92"/>
    <mergeCell ref="BM93:BN93"/>
    <mergeCell ref="BM94:BN94"/>
    <mergeCell ref="BM95:BN95"/>
    <mergeCell ref="BM96:BN96"/>
    <mergeCell ref="BM97:BN97"/>
    <mergeCell ref="BM100:BN100"/>
    <mergeCell ref="BM101:BN101"/>
    <mergeCell ref="BM102:BN102"/>
    <mergeCell ref="BM103:BN103"/>
    <mergeCell ref="BM104:BN104"/>
    <mergeCell ref="BM105:BN105"/>
    <mergeCell ref="BM106:BN106"/>
    <mergeCell ref="BT106:BU106"/>
    <mergeCell ref="D20:F20"/>
    <mergeCell ref="C54:D54"/>
    <mergeCell ref="C55:D55"/>
    <mergeCell ref="C56:D56"/>
    <mergeCell ref="C57:D57"/>
    <mergeCell ref="C58:D58"/>
    <mergeCell ref="BT94:BU94"/>
    <mergeCell ref="BT95:BU95"/>
    <mergeCell ref="BT96:BU96"/>
    <mergeCell ref="BT97:BU97"/>
    <mergeCell ref="BT100:BU100"/>
    <mergeCell ref="BT101:BU101"/>
    <mergeCell ref="BT102:BU102"/>
    <mergeCell ref="BT103:BU103"/>
    <mergeCell ref="BT104:BU104"/>
    <mergeCell ref="BT81:BU81"/>
    <mergeCell ref="BT82:BU82"/>
    <mergeCell ref="BT83:BU83"/>
    <mergeCell ref="BT86:BU86"/>
    <mergeCell ref="BT87:BU87"/>
    <mergeCell ref="BT90:BU90"/>
    <mergeCell ref="BT91:BU91"/>
    <mergeCell ref="BT92:BU92"/>
    <mergeCell ref="CN69:CO69"/>
    <mergeCell ref="CN70:CO70"/>
    <mergeCell ref="CN71:CO71"/>
    <mergeCell ref="CN72:CO72"/>
    <mergeCell ref="CN73:CO73"/>
    <mergeCell ref="CN58:CO58"/>
    <mergeCell ref="CN59:CO59"/>
    <mergeCell ref="DD49:DF49"/>
    <mergeCell ref="CN50:CO50"/>
    <mergeCell ref="CN51:CO51"/>
    <mergeCell ref="CN52:CO52"/>
    <mergeCell ref="CN53:CO53"/>
    <mergeCell ref="CN54:CO54"/>
    <mergeCell ref="CN55:CO55"/>
    <mergeCell ref="CN56:CO56"/>
    <mergeCell ref="CN57:CO57"/>
    <mergeCell ref="F54:H54"/>
    <mergeCell ref="F55:H55"/>
    <mergeCell ref="F56:H56"/>
    <mergeCell ref="F57:H57"/>
    <mergeCell ref="CN74:CO74"/>
    <mergeCell ref="CN75:CO75"/>
    <mergeCell ref="CN76:CO76"/>
    <mergeCell ref="DD64:DE64"/>
    <mergeCell ref="DD65:DE65"/>
    <mergeCell ref="DD66:DE66"/>
    <mergeCell ref="DD67:DE67"/>
    <mergeCell ref="DD68:DE68"/>
    <mergeCell ref="DD69:DE69"/>
    <mergeCell ref="DD70:DE70"/>
    <mergeCell ref="DD71:DE71"/>
    <mergeCell ref="DD72:DE72"/>
    <mergeCell ref="DD73:DE73"/>
    <mergeCell ref="DD74:DE74"/>
    <mergeCell ref="DD75:DE75"/>
    <mergeCell ref="DD76:DE76"/>
    <mergeCell ref="CN65:CO65"/>
    <mergeCell ref="CN66:CO66"/>
    <mergeCell ref="CN67:CO67"/>
    <mergeCell ref="CN68:CO68"/>
    <mergeCell ref="A44:D53"/>
    <mergeCell ref="M45:O45"/>
    <mergeCell ref="T45:V45"/>
    <mergeCell ref="AA45:AC45"/>
    <mergeCell ref="F46:H46"/>
    <mergeCell ref="F47:H47"/>
    <mergeCell ref="F48:H48"/>
    <mergeCell ref="F49:H49"/>
    <mergeCell ref="F50:H50"/>
    <mergeCell ref="F51:H51"/>
    <mergeCell ref="F52:H52"/>
    <mergeCell ref="F53:H53"/>
    <mergeCell ref="BC45:BE45"/>
    <mergeCell ref="BJ45:BL45"/>
    <mergeCell ref="BQ45:BS45"/>
    <mergeCell ref="BX45:BZ45"/>
    <mergeCell ref="CE45:CG45"/>
    <mergeCell ref="F45:H45"/>
    <mergeCell ref="I45:K45"/>
    <mergeCell ref="BF45:BH45"/>
    <mergeCell ref="BM45:BO45"/>
    <mergeCell ref="BT45:BV45"/>
    <mergeCell ref="CA45:CC45"/>
    <mergeCell ref="AR45:AT45"/>
    <mergeCell ref="AY45:BA45"/>
    <mergeCell ref="P54:R54"/>
    <mergeCell ref="P55:R55"/>
    <mergeCell ref="P56:R56"/>
    <mergeCell ref="P57:R57"/>
    <mergeCell ref="W54:Y54"/>
    <mergeCell ref="W55:Y55"/>
    <mergeCell ref="W56:Y56"/>
    <mergeCell ref="W57:Y57"/>
    <mergeCell ref="AD53:AF53"/>
    <mergeCell ref="AD54:AF54"/>
    <mergeCell ref="AD55:AF55"/>
    <mergeCell ref="AD56:AF56"/>
    <mergeCell ref="AD57:AF57"/>
    <mergeCell ref="AK46:AM46"/>
    <mergeCell ref="AK47:AM47"/>
    <mergeCell ref="AH45:AJ45"/>
    <mergeCell ref="AO45:AQ45"/>
    <mergeCell ref="AV45:AX45"/>
    <mergeCell ref="AD51:AF51"/>
    <mergeCell ref="AD52:AF52"/>
    <mergeCell ref="I55:K55"/>
    <mergeCell ref="I56:K56"/>
    <mergeCell ref="I57:K57"/>
    <mergeCell ref="P45:R45"/>
    <mergeCell ref="W45:Y45"/>
    <mergeCell ref="AD45:AF45"/>
    <mergeCell ref="AK45:AM45"/>
    <mergeCell ref="I46:K46"/>
    <mergeCell ref="I47:K47"/>
    <mergeCell ref="I48:K48"/>
    <mergeCell ref="I49:K49"/>
    <mergeCell ref="I50:K50"/>
    <mergeCell ref="I51:K51"/>
    <mergeCell ref="I52:K52"/>
    <mergeCell ref="I53:K53"/>
    <mergeCell ref="I54:K54"/>
    <mergeCell ref="AK55:AM55"/>
    <mergeCell ref="AK56:AM56"/>
    <mergeCell ref="CH45:CJ45"/>
    <mergeCell ref="P46:R46"/>
    <mergeCell ref="P47:R47"/>
    <mergeCell ref="P48:R48"/>
    <mergeCell ref="P49:R49"/>
    <mergeCell ref="P50:R50"/>
    <mergeCell ref="P51:R51"/>
    <mergeCell ref="P52:R52"/>
    <mergeCell ref="P53:R53"/>
    <mergeCell ref="W46:Y46"/>
    <mergeCell ref="W47:Y47"/>
    <mergeCell ref="W48:Y48"/>
    <mergeCell ref="W49:Y49"/>
    <mergeCell ref="W50:Y50"/>
    <mergeCell ref="W51:Y51"/>
    <mergeCell ref="W52:Y52"/>
    <mergeCell ref="W53:Y53"/>
    <mergeCell ref="AD46:AF46"/>
    <mergeCell ref="AD47:AF47"/>
    <mergeCell ref="AD48:AF48"/>
    <mergeCell ref="AD49:AF49"/>
    <mergeCell ref="AD50:AF50"/>
    <mergeCell ref="AY51:BA51"/>
    <mergeCell ref="AY52:BA52"/>
    <mergeCell ref="AY53:BA53"/>
    <mergeCell ref="AY54:BA54"/>
    <mergeCell ref="AK57:AM57"/>
    <mergeCell ref="AR46:AT46"/>
    <mergeCell ref="AR47:AT47"/>
    <mergeCell ref="AR48:AT48"/>
    <mergeCell ref="AR49:AT49"/>
    <mergeCell ref="AR50:AT50"/>
    <mergeCell ref="AR51:AT51"/>
    <mergeCell ref="AR52:AT52"/>
    <mergeCell ref="AR53:AT53"/>
    <mergeCell ref="AR54:AT54"/>
    <mergeCell ref="AR55:AT55"/>
    <mergeCell ref="AR56:AT56"/>
    <mergeCell ref="AR57:AT57"/>
    <mergeCell ref="AK48:AM48"/>
    <mergeCell ref="AK49:AM49"/>
    <mergeCell ref="AK50:AM50"/>
    <mergeCell ref="AK51:AM51"/>
    <mergeCell ref="AK52:AM52"/>
    <mergeCell ref="AK53:AM53"/>
    <mergeCell ref="AK54:AM54"/>
    <mergeCell ref="BM51:BO51"/>
    <mergeCell ref="BM52:BO52"/>
    <mergeCell ref="BM53:BO53"/>
    <mergeCell ref="BM54:BO54"/>
    <mergeCell ref="AY55:BA55"/>
    <mergeCell ref="AY56:BA56"/>
    <mergeCell ref="AY57:BA57"/>
    <mergeCell ref="BF46:BH46"/>
    <mergeCell ref="BF47:BH47"/>
    <mergeCell ref="BF48:BH48"/>
    <mergeCell ref="BF49:BH49"/>
    <mergeCell ref="BF50:BH50"/>
    <mergeCell ref="BF51:BH51"/>
    <mergeCell ref="BF52:BH52"/>
    <mergeCell ref="BF53:BH53"/>
    <mergeCell ref="BF54:BH54"/>
    <mergeCell ref="BF55:BH55"/>
    <mergeCell ref="BF56:BH56"/>
    <mergeCell ref="BF57:BH57"/>
    <mergeCell ref="AY46:BA46"/>
    <mergeCell ref="AY47:BA47"/>
    <mergeCell ref="AY48:BA48"/>
    <mergeCell ref="AY49:BA49"/>
    <mergeCell ref="AY50:BA50"/>
    <mergeCell ref="CA51:CC51"/>
    <mergeCell ref="CA52:CC52"/>
    <mergeCell ref="CA53:CC53"/>
    <mergeCell ref="CA54:CC54"/>
    <mergeCell ref="BM55:BO55"/>
    <mergeCell ref="BM56:BO56"/>
    <mergeCell ref="BM57:BO57"/>
    <mergeCell ref="BT46:BV46"/>
    <mergeCell ref="BT47:BV47"/>
    <mergeCell ref="BT48:BV48"/>
    <mergeCell ref="BT49:BV49"/>
    <mergeCell ref="BT50:BV50"/>
    <mergeCell ref="BT51:BV51"/>
    <mergeCell ref="BT52:BV52"/>
    <mergeCell ref="BT53:BV53"/>
    <mergeCell ref="BT54:BV54"/>
    <mergeCell ref="BT55:BV55"/>
    <mergeCell ref="BT56:BV56"/>
    <mergeCell ref="BT57:BV57"/>
    <mergeCell ref="BM46:BO46"/>
    <mergeCell ref="BM47:BO47"/>
    <mergeCell ref="BM48:BO48"/>
    <mergeCell ref="BM49:BO49"/>
    <mergeCell ref="BM50:BO50"/>
    <mergeCell ref="AA55:AC55"/>
    <mergeCell ref="AA56:AC56"/>
    <mergeCell ref="AA57:AC57"/>
    <mergeCell ref="AH46:AJ46"/>
    <mergeCell ref="CA55:CC55"/>
    <mergeCell ref="CA56:CC56"/>
    <mergeCell ref="CA57:CC57"/>
    <mergeCell ref="CH46:CJ46"/>
    <mergeCell ref="CH47:CJ47"/>
    <mergeCell ref="CH48:CJ48"/>
    <mergeCell ref="CH49:CJ49"/>
    <mergeCell ref="CH50:CJ50"/>
    <mergeCell ref="CH51:CJ51"/>
    <mergeCell ref="CH52:CJ52"/>
    <mergeCell ref="CH53:CJ53"/>
    <mergeCell ref="CH54:CJ54"/>
    <mergeCell ref="CH55:CJ55"/>
    <mergeCell ref="CH56:CJ56"/>
    <mergeCell ref="CH57:CJ57"/>
    <mergeCell ref="CA46:CC46"/>
    <mergeCell ref="CA47:CC47"/>
    <mergeCell ref="CA48:CC48"/>
    <mergeCell ref="CA49:CC49"/>
    <mergeCell ref="CA50:CC50"/>
    <mergeCell ref="AA46:AC46"/>
    <mergeCell ref="AA47:AC47"/>
    <mergeCell ref="AA48:AC48"/>
    <mergeCell ref="AA49:AC49"/>
    <mergeCell ref="AA50:AC50"/>
    <mergeCell ref="AA51:AC51"/>
    <mergeCell ref="AA52:AC52"/>
    <mergeCell ref="AA53:AC53"/>
    <mergeCell ref="AA54:AC54"/>
    <mergeCell ref="M55:O55"/>
    <mergeCell ref="M56:O56"/>
    <mergeCell ref="M57:O57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M46:O46"/>
    <mergeCell ref="M47:O47"/>
    <mergeCell ref="M48:O48"/>
    <mergeCell ref="M49:O49"/>
    <mergeCell ref="M50:O50"/>
    <mergeCell ref="M51:O51"/>
    <mergeCell ref="M52:O52"/>
    <mergeCell ref="M53:O53"/>
    <mergeCell ref="M54:O54"/>
    <mergeCell ref="AV54:AX54"/>
    <mergeCell ref="AH56:AJ56"/>
    <mergeCell ref="AH57:AJ57"/>
    <mergeCell ref="AO46:AQ46"/>
    <mergeCell ref="AO47:AQ47"/>
    <mergeCell ref="AO48:AQ48"/>
    <mergeCell ref="AO49:AQ49"/>
    <mergeCell ref="AO50:AQ50"/>
    <mergeCell ref="AO51:AQ51"/>
    <mergeCell ref="AO52:AQ52"/>
    <mergeCell ref="AO53:AQ53"/>
    <mergeCell ref="AO54:AQ54"/>
    <mergeCell ref="AO55:AQ55"/>
    <mergeCell ref="AO56:AQ56"/>
    <mergeCell ref="AO57:AQ57"/>
    <mergeCell ref="AH47:AJ47"/>
    <mergeCell ref="AH48:AJ48"/>
    <mergeCell ref="AH49:AJ49"/>
    <mergeCell ref="AH50:AJ50"/>
    <mergeCell ref="AH51:AJ51"/>
    <mergeCell ref="AH52:AJ52"/>
    <mergeCell ref="AH53:AJ53"/>
    <mergeCell ref="AH54:AJ54"/>
    <mergeCell ref="AH55:AJ55"/>
    <mergeCell ref="BJ54:BL54"/>
    <mergeCell ref="AV55:AX55"/>
    <mergeCell ref="AV56:AX56"/>
    <mergeCell ref="AV57:AX57"/>
    <mergeCell ref="BC46:BE46"/>
    <mergeCell ref="BC47:BE47"/>
    <mergeCell ref="BC48:BE48"/>
    <mergeCell ref="BC49:BE49"/>
    <mergeCell ref="BC50:BE50"/>
    <mergeCell ref="BC51:BE51"/>
    <mergeCell ref="BC52:BE52"/>
    <mergeCell ref="BC53:BE53"/>
    <mergeCell ref="BC54:BE54"/>
    <mergeCell ref="BC55:BE55"/>
    <mergeCell ref="BC56:BE56"/>
    <mergeCell ref="BC57:BE57"/>
    <mergeCell ref="AV46:AX46"/>
    <mergeCell ref="AV47:AX47"/>
    <mergeCell ref="AV48:AX48"/>
    <mergeCell ref="AV49:AX49"/>
    <mergeCell ref="AV50:AX50"/>
    <mergeCell ref="AV51:AX51"/>
    <mergeCell ref="AV52:AX52"/>
    <mergeCell ref="AV53:AX53"/>
    <mergeCell ref="BX54:BZ54"/>
    <mergeCell ref="BJ55:BL55"/>
    <mergeCell ref="BJ56:BL56"/>
    <mergeCell ref="BJ57:BL57"/>
    <mergeCell ref="BQ46:BS46"/>
    <mergeCell ref="BQ47:BS47"/>
    <mergeCell ref="BQ48:BS48"/>
    <mergeCell ref="BQ49:BS49"/>
    <mergeCell ref="BQ50:BS50"/>
    <mergeCell ref="BQ51:BS51"/>
    <mergeCell ref="BQ52:BS52"/>
    <mergeCell ref="BQ53:BS53"/>
    <mergeCell ref="BQ54:BS54"/>
    <mergeCell ref="BQ55:BS55"/>
    <mergeCell ref="BQ56:BS56"/>
    <mergeCell ref="BQ57:BS57"/>
    <mergeCell ref="BJ46:BL46"/>
    <mergeCell ref="BJ47:BL47"/>
    <mergeCell ref="BJ48:BL48"/>
    <mergeCell ref="BJ49:BL49"/>
    <mergeCell ref="BJ50:BL50"/>
    <mergeCell ref="BJ51:BL51"/>
    <mergeCell ref="BJ52:BL52"/>
    <mergeCell ref="BJ53:BL53"/>
    <mergeCell ref="DC46:DE46"/>
    <mergeCell ref="BX55:BZ55"/>
    <mergeCell ref="BX56:BZ56"/>
    <mergeCell ref="BX57:BZ57"/>
    <mergeCell ref="CE46:CG46"/>
    <mergeCell ref="CE47:CG47"/>
    <mergeCell ref="CE48:CG48"/>
    <mergeCell ref="CE49:CG49"/>
    <mergeCell ref="CE50:CG50"/>
    <mergeCell ref="CE51:CG51"/>
    <mergeCell ref="CE52:CG52"/>
    <mergeCell ref="CE53:CG53"/>
    <mergeCell ref="CE54:CG54"/>
    <mergeCell ref="CE55:CG55"/>
    <mergeCell ref="CE56:CG56"/>
    <mergeCell ref="CE57:CG57"/>
    <mergeCell ref="BX46:BZ46"/>
    <mergeCell ref="BX47:BZ47"/>
    <mergeCell ref="BX48:BZ48"/>
    <mergeCell ref="BX49:BZ49"/>
    <mergeCell ref="BX50:BZ50"/>
    <mergeCell ref="BX51:BZ51"/>
    <mergeCell ref="BX52:BZ52"/>
    <mergeCell ref="BX53:BZ53"/>
  </mergeCells>
  <conditionalFormatting sqref="F5:L13">
    <cfRule type="colorScale" priority="18">
      <colorScale>
        <cfvo type="min"/>
        <cfvo type="max"/>
        <color rgb="FFFCFCFF"/>
        <color rgb="FF63BE7B"/>
      </colorScale>
    </cfRule>
  </conditionalFormatting>
  <conditionalFormatting sqref="M5:S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T5:Z1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A5:AG1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H5:AN13">
    <cfRule type="colorScale" priority="14">
      <colorScale>
        <cfvo type="min"/>
        <cfvo type="max"/>
        <color rgb="FFFCFCFF"/>
        <color rgb="FF63BE7B"/>
      </colorScale>
    </cfRule>
  </conditionalFormatting>
  <conditionalFormatting sqref="AO5:AU1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V5:BB13">
    <cfRule type="colorScale" priority="12">
      <colorScale>
        <cfvo type="min"/>
        <cfvo type="max"/>
        <color rgb="FFFCFCFF"/>
        <color rgb="FF63BE7B"/>
      </colorScale>
    </cfRule>
  </conditionalFormatting>
  <conditionalFormatting sqref="BC5:BI13">
    <cfRule type="colorScale" priority="11">
      <colorScale>
        <cfvo type="min"/>
        <cfvo type="max"/>
        <color rgb="FFFCFCFF"/>
        <color rgb="FF63BE7B"/>
      </colorScale>
    </cfRule>
  </conditionalFormatting>
  <conditionalFormatting sqref="BJ5:BP13">
    <cfRule type="colorScale" priority="10">
      <colorScale>
        <cfvo type="min"/>
        <cfvo type="max"/>
        <color rgb="FFFCFCFF"/>
        <color rgb="FF63BE7B"/>
      </colorScale>
    </cfRule>
  </conditionalFormatting>
  <conditionalFormatting sqref="BQ5:BW13">
    <cfRule type="colorScale" priority="9">
      <colorScale>
        <cfvo type="min"/>
        <cfvo type="max"/>
        <color rgb="FFFCFCFF"/>
        <color rgb="FF63BE7B"/>
      </colorScale>
    </cfRule>
  </conditionalFormatting>
  <conditionalFormatting sqref="BX5:CD13">
    <cfRule type="colorScale" priority="6">
      <colorScale>
        <cfvo type="min"/>
        <cfvo type="max"/>
        <color rgb="FFFCFCFF"/>
        <color rgb="FF63BE7B"/>
      </colorScale>
    </cfRule>
  </conditionalFormatting>
  <conditionalFormatting sqref="CE5:CK13">
    <cfRule type="colorScale" priority="5">
      <colorScale>
        <cfvo type="min"/>
        <cfvo type="max"/>
        <color rgb="FFFCFCFF"/>
        <color rgb="FF63BE7B"/>
      </colorScale>
    </cfRule>
  </conditionalFormatting>
  <conditionalFormatting sqref="I46:K57 P46:R57 W46:Y57 AD46:AF57 AK46:AM57 AR46:AT57 AY46:BA57 BF46:BH57 BM46:BO57 BT46:BV57 CA46:CC57 CH46:CJ57">
    <cfRule type="colorScale" priority="4">
      <colorScale>
        <cfvo type="min"/>
        <cfvo type="percentile" val="25"/>
        <cfvo type="percentile" val="75"/>
        <color rgb="FFC00000"/>
        <color rgb="FFFFEB84"/>
        <color rgb="FF00B050"/>
      </colorScale>
    </cfRule>
  </conditionalFormatting>
  <conditionalFormatting sqref="I46:K57 P46:R57 W46:Y57 AD46:AF57 AK46:AM57 AR46:AT57 AY46:BA57 BF46:BH57 BM46:BO57 BT46:BV57 CA46:CC57 CH46:CJ57">
    <cfRule type="cellIs" dxfId="1" priority="3" operator="between">
      <formula>"x"</formula>
      <formula>"x"</formula>
    </cfRule>
  </conditionalFormatting>
  <conditionalFormatting sqref="CP116:DA117 CP119:DA127 CP118:CU118 CX118:DA118">
    <cfRule type="colorScale" priority="2">
      <colorScale>
        <cfvo type="min"/>
        <cfvo type="max"/>
        <color rgb="FFFCFCFF"/>
        <color rgb="FFF8696B"/>
      </colorScale>
    </cfRule>
  </conditionalFormatting>
  <dataValidations disablePrompts="1" count="1">
    <dataValidation allowBlank="1" showInputMessage="1" showErrorMessage="1" errorTitle="Erreur de saisie" error="Seule les valeurs 0 et 1 sont acceptées." sqref="E4:E13 F4:CK4 D14:D18 CZ24:DC41 DD17:DH41 CZ17:DC22 CS17:CY41 D80:D83 DE50:DH60 Z49:Z73 AG49:AG73 T69:Y73 AH69:AI73 AA69:AF73 T58:Y59 AA58:AF59 AH58:AI59"/>
  </dataValidations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CommandButton21">
          <controlPr defaultSize="0" autoLine="0" autoPict="0" r:id="rId5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4</xdr:col>
                <xdr:colOff>9525</xdr:colOff>
                <xdr:row>5</xdr:row>
                <xdr:rowOff>85725</xdr:rowOff>
              </to>
            </anchor>
          </controlPr>
        </control>
      </mc:Choice>
      <mc:Fallback>
        <control shapeId="2049" r:id="rId4" name="CommandButton21"/>
      </mc:Fallback>
    </mc:AlternateContent>
    <mc:AlternateContent xmlns:mc="http://schemas.openxmlformats.org/markup-compatibility/2006">
      <mc:Choice Requires="x14">
        <control shapeId="2050" r:id="rId6" name="CommandButton22">
          <controlPr defaultSize="0" autoLine="0" autoPict="0" r:id="rId7">
            <anchor moveWithCells="1">
              <from>
                <xdr:col>0</xdr:col>
                <xdr:colOff>0</xdr:colOff>
                <xdr:row>6</xdr:row>
                <xdr:rowOff>314325</xdr:rowOff>
              </from>
              <to>
                <xdr:col>4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2050" r:id="rId6" name="CommandButton22"/>
      </mc:Fallback>
    </mc:AlternateContent>
    <mc:AlternateContent xmlns:mc="http://schemas.openxmlformats.org/markup-compatibility/2006">
      <mc:Choice Requires="x14">
        <control shapeId="2051" r:id="rId8" name="CommandButton23">
          <controlPr defaultSize="0" autoLine="0" autoPict="0" r:id="rId9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66675</xdr:rowOff>
              </to>
            </anchor>
          </controlPr>
        </control>
      </mc:Choice>
      <mc:Fallback>
        <control shapeId="2051" r:id="rId8" name="CommandButton2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2202ADC-811D-40AA-A221-992971E46674}">
            <x14:iconSet iconSet="3Symbols2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F60:K68 M60:R68 T60:Y68 AA60:AF68 AH60:AM68 AO60:AT68 AV60:BA68 BC60:BH68 BJ60:BO68 BQ60:BV68 BX60:CC68 CE60:CJ68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DA51"/>
  <sheetViews>
    <sheetView topLeftCell="E16" zoomScale="70" zoomScaleNormal="70" workbookViewId="0">
      <selection activeCell="I39" sqref="I39"/>
    </sheetView>
  </sheetViews>
  <sheetFormatPr defaultColWidth="9.140625" defaultRowHeight="15" x14ac:dyDescent="0.25"/>
  <cols>
    <col min="1" max="6" width="4.7109375" style="82" customWidth="1"/>
    <col min="7" max="7" width="4.7109375" customWidth="1"/>
    <col min="8" max="10" width="4.7109375" style="82" customWidth="1"/>
    <col min="11" max="106" width="4.7109375" customWidth="1"/>
  </cols>
  <sheetData>
    <row r="2" spans="14:89" hidden="1" x14ac:dyDescent="0.25"/>
    <row r="3" spans="14:89" hidden="1" x14ac:dyDescent="0.25">
      <c r="AV3" s="84">
        <v>200</v>
      </c>
      <c r="BA3" s="84"/>
      <c r="BB3" s="84"/>
      <c r="BC3" s="84"/>
    </row>
    <row r="4" spans="14:89" ht="15" customHeight="1" x14ac:dyDescent="0.55000000000000004"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169">
        <f>AV3/100</f>
        <v>2</v>
      </c>
      <c r="AN4" s="169"/>
      <c r="AO4" s="169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J4" s="170"/>
      <c r="BK4" s="170"/>
      <c r="BL4" s="170"/>
    </row>
    <row r="5" spans="14:89" ht="15" customHeight="1" x14ac:dyDescent="0.55000000000000004"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169"/>
      <c r="AN5" s="169"/>
      <c r="AO5" s="169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J5" s="170"/>
      <c r="BK5" s="170"/>
      <c r="BL5" s="170"/>
    </row>
    <row r="6" spans="14:89" ht="24.95" customHeight="1" x14ac:dyDescent="0.55000000000000004"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169"/>
      <c r="AN6" s="169"/>
      <c r="AO6" s="169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J6" s="170"/>
      <c r="BK6" s="170"/>
      <c r="BL6" s="170"/>
    </row>
    <row r="7" spans="14:89" ht="24.95" customHeight="1" x14ac:dyDescent="0.25"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</row>
    <row r="8" spans="14:89" ht="24.95" customHeight="1" x14ac:dyDescent="0.25"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</row>
    <row r="9" spans="14:89" ht="24.95" customHeight="1" x14ac:dyDescent="0.25"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</row>
    <row r="10" spans="14:89" ht="24.95" customHeight="1" x14ac:dyDescent="0.25"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</row>
    <row r="11" spans="14:89" ht="24.95" customHeight="1" x14ac:dyDescent="0.25"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</row>
    <row r="12" spans="14:89" ht="24.95" customHeight="1" x14ac:dyDescent="0.25"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</row>
    <row r="13" spans="14:89" ht="24.95" customHeight="1" x14ac:dyDescent="0.25"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</row>
    <row r="14" spans="14:89" ht="24.95" customHeight="1" x14ac:dyDescent="0.25"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</row>
    <row r="15" spans="14:89" ht="24.95" customHeight="1" x14ac:dyDescent="0.25"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</row>
    <row r="16" spans="14:89" ht="24.95" customHeight="1" x14ac:dyDescent="0.25"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</row>
    <row r="17" spans="14:105" ht="24.95" customHeight="1" x14ac:dyDescent="0.25"/>
    <row r="18" spans="14:105" s="82" customFormat="1" ht="24.95" hidden="1" customHeight="1" x14ac:dyDescent="0.25">
      <c r="O18" s="82">
        <f>Sheet2!D3</f>
        <v>0</v>
      </c>
      <c r="P18" s="82">
        <f>Sheet2!E3</f>
        <v>0</v>
      </c>
      <c r="Q18" s="82">
        <f>Sheet2!F3</f>
        <v>0</v>
      </c>
      <c r="R18" s="82">
        <f>Sheet2!G3</f>
        <v>0</v>
      </c>
      <c r="S18" s="82">
        <f>Sheet2!H3</f>
        <v>0</v>
      </c>
      <c r="T18" s="82">
        <f>Sheet2!I3</f>
        <v>0</v>
      </c>
      <c r="U18" s="82">
        <f>Sheet2!J3</f>
        <v>0</v>
      </c>
      <c r="V18" s="82">
        <f>Sheet2!K3</f>
        <v>1</v>
      </c>
      <c r="W18" s="82">
        <f>Sheet2!L3</f>
        <v>0</v>
      </c>
      <c r="X18" s="82">
        <f>Sheet2!M3</f>
        <v>1</v>
      </c>
      <c r="Y18" s="82">
        <f>Sheet2!N3</f>
        <v>0</v>
      </c>
      <c r="Z18" s="82">
        <f>Sheet2!O3</f>
        <v>0</v>
      </c>
      <c r="AA18" s="82">
        <f>Sheet2!P3</f>
        <v>0</v>
      </c>
      <c r="AB18" s="82">
        <f>Sheet2!Q3</f>
        <v>0</v>
      </c>
      <c r="AC18" s="82">
        <f>Sheet2!R3</f>
        <v>2</v>
      </c>
      <c r="AD18" s="82">
        <f>Sheet2!S3</f>
        <v>0</v>
      </c>
      <c r="AE18" s="82">
        <f>Sheet2!T3</f>
        <v>2</v>
      </c>
      <c r="AF18" s="82">
        <f>Sheet2!U3</f>
        <v>0</v>
      </c>
      <c r="AG18" s="82">
        <f>Sheet2!V3</f>
        <v>0</v>
      </c>
      <c r="AH18" s="82">
        <f>Sheet2!W3</f>
        <v>0</v>
      </c>
      <c r="AI18" s="82">
        <f>Sheet2!X3</f>
        <v>0</v>
      </c>
      <c r="AJ18" s="82">
        <f>Sheet2!Y3</f>
        <v>3</v>
      </c>
      <c r="AK18" s="82">
        <f>Sheet2!Z3</f>
        <v>0</v>
      </c>
      <c r="AL18" s="82">
        <f>Sheet2!AA3</f>
        <v>3</v>
      </c>
      <c r="AM18" s="82">
        <f>Sheet2!AB3</f>
        <v>0</v>
      </c>
      <c r="AN18" s="82">
        <f>Sheet2!AC3</f>
        <v>0</v>
      </c>
      <c r="AO18" s="82">
        <f>Sheet2!AD3</f>
        <v>0</v>
      </c>
      <c r="AP18" s="82">
        <f>Sheet2!AE3</f>
        <v>0</v>
      </c>
      <c r="AQ18" s="82">
        <f>Sheet2!AF3</f>
        <v>4</v>
      </c>
      <c r="AR18" s="82">
        <f>Sheet2!AG3</f>
        <v>0</v>
      </c>
      <c r="AS18" s="82">
        <f>Sheet2!AH3</f>
        <v>4</v>
      </c>
      <c r="AT18" s="82">
        <f>Sheet2!AI3</f>
        <v>0</v>
      </c>
      <c r="AU18" s="82">
        <f>Sheet2!AJ3</f>
        <v>0</v>
      </c>
      <c r="AV18" s="82">
        <f>Sheet2!AK3</f>
        <v>0</v>
      </c>
      <c r="AW18" s="82">
        <f>Sheet2!AL3</f>
        <v>0</v>
      </c>
      <c r="AX18" s="82">
        <f>Sheet2!AM3</f>
        <v>5</v>
      </c>
      <c r="AY18" s="82">
        <f>Sheet2!AN3</f>
        <v>0</v>
      </c>
      <c r="AZ18" s="82">
        <f>Sheet2!AO3</f>
        <v>5</v>
      </c>
      <c r="BA18" s="82">
        <f>Sheet2!AP3</f>
        <v>0</v>
      </c>
      <c r="BB18" s="82">
        <f>Sheet2!AQ3</f>
        <v>0</v>
      </c>
      <c r="BC18" s="82">
        <f>Sheet2!AR3</f>
        <v>0</v>
      </c>
      <c r="BD18" s="82">
        <f>Sheet2!AS3</f>
        <v>0</v>
      </c>
      <c r="BE18" s="82">
        <f>Sheet2!AT3</f>
        <v>6</v>
      </c>
      <c r="BF18" s="82">
        <f>Sheet2!AU3</f>
        <v>0</v>
      </c>
      <c r="BG18" s="82">
        <f>Sheet2!AV3</f>
        <v>6</v>
      </c>
      <c r="BH18" s="82">
        <f>Sheet2!AW3</f>
        <v>0</v>
      </c>
      <c r="BI18" s="82">
        <f>Sheet2!AX3</f>
        <v>0</v>
      </c>
      <c r="BJ18" s="82">
        <f>Sheet2!AY3</f>
        <v>0</v>
      </c>
      <c r="BK18" s="82">
        <f>Sheet2!AZ3</f>
        <v>0</v>
      </c>
      <c r="BL18" s="82">
        <f>Sheet2!BA3</f>
        <v>7</v>
      </c>
      <c r="BM18" s="82">
        <f>Sheet2!BB3</f>
        <v>0</v>
      </c>
      <c r="BN18" s="82">
        <f>Sheet2!BC3</f>
        <v>7</v>
      </c>
      <c r="BO18" s="82">
        <f>Sheet2!BD3</f>
        <v>0</v>
      </c>
      <c r="BP18" s="82">
        <f>Sheet2!BE3</f>
        <v>0</v>
      </c>
      <c r="BQ18" s="82">
        <f>Sheet2!BF3</f>
        <v>0</v>
      </c>
      <c r="BR18" s="82">
        <f>Sheet2!BG3</f>
        <v>0</v>
      </c>
      <c r="BS18" s="82">
        <f>Sheet2!BH3</f>
        <v>8</v>
      </c>
      <c r="BT18" s="82">
        <f>Sheet2!BI3</f>
        <v>0</v>
      </c>
      <c r="BU18" s="82">
        <f>Sheet2!BJ3</f>
        <v>8</v>
      </c>
      <c r="BV18" s="82">
        <f>Sheet2!BK3</f>
        <v>0</v>
      </c>
      <c r="BW18" s="82">
        <f>Sheet2!BL3</f>
        <v>0</v>
      </c>
      <c r="BX18" s="82">
        <f>Sheet2!BM3</f>
        <v>0</v>
      </c>
      <c r="BY18" s="82">
        <f>Sheet2!BN3</f>
        <v>0</v>
      </c>
      <c r="BZ18" s="82">
        <f>Sheet2!BO3</f>
        <v>9</v>
      </c>
      <c r="CA18" s="82">
        <f>Sheet2!BP3</f>
        <v>0</v>
      </c>
      <c r="CB18" s="82">
        <f>Sheet2!BQ3</f>
        <v>9</v>
      </c>
      <c r="CC18" s="82">
        <f>Sheet2!BR3</f>
        <v>0</v>
      </c>
      <c r="CD18" s="82">
        <f>Sheet2!BS3</f>
        <v>0</v>
      </c>
      <c r="CE18" s="82">
        <f>Sheet2!BT3</f>
        <v>0</v>
      </c>
      <c r="CF18" s="82">
        <f>Sheet2!BU3</f>
        <v>0</v>
      </c>
      <c r="CG18" s="82" t="str">
        <f>Sheet2!BV3</f>
        <v>.</v>
      </c>
      <c r="CH18" s="82">
        <f>Sheet2!BW3</f>
        <v>0</v>
      </c>
      <c r="CI18" s="82" t="str">
        <f>Sheet2!BX3</f>
        <v>.</v>
      </c>
      <c r="CJ18" s="82">
        <f>Sheet2!BY3</f>
        <v>0</v>
      </c>
      <c r="CK18" s="82">
        <f>Sheet2!BZ3</f>
        <v>0</v>
      </c>
      <c r="CL18" s="82">
        <f>Sheet2!CA3</f>
        <v>0</v>
      </c>
      <c r="CM18" s="82">
        <f>Sheet2!CB3</f>
        <v>0</v>
      </c>
      <c r="CN18" s="82" t="str">
        <f>Sheet2!CC3</f>
        <v>E</v>
      </c>
      <c r="CO18" s="82">
        <f>Sheet2!CD3</f>
        <v>0</v>
      </c>
      <c r="CP18" s="82" t="str">
        <f>Sheet2!CE3</f>
        <v>#</v>
      </c>
      <c r="CQ18" s="82">
        <f>Sheet2!CF3</f>
        <v>0</v>
      </c>
      <c r="CR18" s="82">
        <f>Sheet2!CG3</f>
        <v>0</v>
      </c>
      <c r="CS18" s="82">
        <f>Sheet2!CH3</f>
        <v>0</v>
      </c>
      <c r="CT18" s="82">
        <f>Sheet2!CI3</f>
        <v>0</v>
      </c>
      <c r="CU18" s="82">
        <f>Sheet2!CJ3</f>
        <v>0</v>
      </c>
      <c r="CV18" s="82">
        <f>Sheet2!CK3</f>
        <v>0</v>
      </c>
    </row>
    <row r="19" spans="14:105" s="82" customFormat="1" ht="24.95" hidden="1" customHeight="1" x14ac:dyDescent="0.25">
      <c r="N19" s="82">
        <f>Sheet2!E4</f>
        <v>0</v>
      </c>
      <c r="O19" s="82">
        <f>Sheet2!F4</f>
        <v>1</v>
      </c>
      <c r="P19" s="82">
        <f>Sheet2!G4</f>
        <v>2</v>
      </c>
      <c r="Q19" s="82">
        <f>Sheet2!H4</f>
        <v>3</v>
      </c>
      <c r="R19" s="82">
        <f>Sheet2!I4</f>
        <v>4</v>
      </c>
      <c r="S19" s="82">
        <f>Sheet2!J4</f>
        <v>5</v>
      </c>
      <c r="T19" s="82">
        <f>Sheet2!K4</f>
        <v>6</v>
      </c>
      <c r="U19" s="82">
        <f>Sheet2!L4</f>
        <v>7</v>
      </c>
      <c r="V19" s="82">
        <f>Sheet2!M4</f>
        <v>1</v>
      </c>
      <c r="W19" s="82">
        <f>Sheet2!N4</f>
        <v>2</v>
      </c>
      <c r="X19" s="82">
        <f>Sheet2!O4</f>
        <v>3</v>
      </c>
      <c r="Y19" s="82">
        <f>Sheet2!P4</f>
        <v>4</v>
      </c>
      <c r="Z19" s="82">
        <f>Sheet2!Q4</f>
        <v>5</v>
      </c>
      <c r="AA19" s="82">
        <f>Sheet2!R4</f>
        <v>6</v>
      </c>
      <c r="AB19" s="82">
        <f>Sheet2!S4</f>
        <v>7</v>
      </c>
      <c r="AC19" s="82">
        <f>Sheet2!T4</f>
        <v>1</v>
      </c>
      <c r="AD19" s="82">
        <f>Sheet2!U4</f>
        <v>2</v>
      </c>
      <c r="AE19" s="82">
        <f>Sheet2!V4</f>
        <v>3</v>
      </c>
      <c r="AF19" s="82">
        <f>Sheet2!W4</f>
        <v>4</v>
      </c>
      <c r="AG19" s="82">
        <f>Sheet2!X4</f>
        <v>5</v>
      </c>
      <c r="AH19" s="82">
        <f>Sheet2!Y4</f>
        <v>6</v>
      </c>
      <c r="AI19" s="82">
        <f>Sheet2!Z4</f>
        <v>7</v>
      </c>
      <c r="AJ19" s="82">
        <f>Sheet2!AA4</f>
        <v>1</v>
      </c>
      <c r="AK19" s="82">
        <f>Sheet2!AB4</f>
        <v>2</v>
      </c>
      <c r="AL19" s="82">
        <f>Sheet2!AC4</f>
        <v>3</v>
      </c>
      <c r="AM19" s="82">
        <f>Sheet2!AD4</f>
        <v>4</v>
      </c>
      <c r="AN19" s="82">
        <f>Sheet2!AE4</f>
        <v>5</v>
      </c>
      <c r="AO19" s="82">
        <f>Sheet2!AF4</f>
        <v>6</v>
      </c>
      <c r="AP19" s="82">
        <f>Sheet2!AG4</f>
        <v>7</v>
      </c>
      <c r="AQ19" s="82">
        <f>Sheet2!AH4</f>
        <v>1</v>
      </c>
      <c r="AR19" s="82">
        <f>Sheet2!AI4</f>
        <v>2</v>
      </c>
      <c r="AS19" s="82">
        <f>Sheet2!AJ4</f>
        <v>3</v>
      </c>
      <c r="AT19" s="82">
        <f>Sheet2!AK4</f>
        <v>4</v>
      </c>
      <c r="AU19" s="82">
        <f>Sheet2!AL4</f>
        <v>5</v>
      </c>
      <c r="AV19" s="82">
        <f>Sheet2!AM4</f>
        <v>6</v>
      </c>
      <c r="AW19" s="82">
        <f>Sheet2!AN4</f>
        <v>7</v>
      </c>
      <c r="AX19" s="82">
        <f>Sheet2!AO4</f>
        <v>1</v>
      </c>
      <c r="AY19" s="82">
        <f>Sheet2!AP4</f>
        <v>2</v>
      </c>
      <c r="AZ19" s="82">
        <f>Sheet2!AQ4</f>
        <v>3</v>
      </c>
      <c r="BA19" s="82">
        <f>Sheet2!AR4</f>
        <v>4</v>
      </c>
      <c r="BB19" s="82">
        <f>Sheet2!AS4</f>
        <v>5</v>
      </c>
      <c r="BC19" s="82">
        <f>Sheet2!AT4</f>
        <v>6</v>
      </c>
      <c r="BD19" s="82">
        <f>Sheet2!AU4</f>
        <v>7</v>
      </c>
      <c r="BE19" s="82">
        <f>Sheet2!AV4</f>
        <v>1</v>
      </c>
      <c r="BF19" s="82">
        <f>Sheet2!AW4</f>
        <v>2</v>
      </c>
      <c r="BG19" s="82">
        <f>Sheet2!AX4</f>
        <v>3</v>
      </c>
      <c r="BH19" s="82">
        <f>Sheet2!AY4</f>
        <v>4</v>
      </c>
      <c r="BI19" s="82">
        <f>Sheet2!AZ4</f>
        <v>5</v>
      </c>
      <c r="BJ19" s="82">
        <f>Sheet2!BA4</f>
        <v>6</v>
      </c>
      <c r="BK19" s="82">
        <f>Sheet2!BB4</f>
        <v>7</v>
      </c>
      <c r="BL19" s="82">
        <f>Sheet2!BC4</f>
        <v>1</v>
      </c>
      <c r="BM19" s="82">
        <f>Sheet2!BD4</f>
        <v>2</v>
      </c>
      <c r="BN19" s="82">
        <f>Sheet2!BE4</f>
        <v>3</v>
      </c>
      <c r="BO19" s="82">
        <f>Sheet2!BF4</f>
        <v>4</v>
      </c>
      <c r="BP19" s="82">
        <f>Sheet2!BG4</f>
        <v>5</v>
      </c>
      <c r="BQ19" s="82">
        <f>Sheet2!BH4</f>
        <v>6</v>
      </c>
      <c r="BR19" s="82">
        <f>Sheet2!BI4</f>
        <v>7</v>
      </c>
      <c r="BS19" s="82">
        <f>Sheet2!BJ4</f>
        <v>1</v>
      </c>
      <c r="BT19" s="82">
        <f>Sheet2!BK4</f>
        <v>2</v>
      </c>
      <c r="BU19" s="82">
        <f>Sheet2!BL4</f>
        <v>3</v>
      </c>
      <c r="BV19" s="82">
        <f>Sheet2!BM4</f>
        <v>4</v>
      </c>
      <c r="BW19" s="82">
        <f>Sheet2!BN4</f>
        <v>5</v>
      </c>
      <c r="BX19" s="82">
        <f>Sheet2!BO4</f>
        <v>6</v>
      </c>
      <c r="BY19" s="82">
        <f>Sheet2!BP4</f>
        <v>7</v>
      </c>
      <c r="BZ19" s="82">
        <f>Sheet2!BQ4</f>
        <v>1</v>
      </c>
      <c r="CA19" s="82">
        <f>Sheet2!BR4</f>
        <v>2</v>
      </c>
      <c r="CB19" s="82">
        <f>Sheet2!BS4</f>
        <v>3</v>
      </c>
      <c r="CC19" s="82">
        <f>Sheet2!BT4</f>
        <v>4</v>
      </c>
      <c r="CD19" s="82">
        <f>Sheet2!BU4</f>
        <v>5</v>
      </c>
      <c r="CE19" s="82">
        <f>Sheet2!BV4</f>
        <v>6</v>
      </c>
      <c r="CF19" s="82">
        <f>Sheet2!BW4</f>
        <v>7</v>
      </c>
      <c r="CG19" s="82">
        <f>Sheet2!BX4</f>
        <v>1</v>
      </c>
      <c r="CH19" s="82">
        <f>Sheet2!BY4</f>
        <v>2</v>
      </c>
      <c r="CI19" s="82">
        <f>Sheet2!BZ4</f>
        <v>3</v>
      </c>
      <c r="CJ19" s="82">
        <f>Sheet2!CA4</f>
        <v>4</v>
      </c>
      <c r="CK19" s="82">
        <f>Sheet2!CB4</f>
        <v>5</v>
      </c>
      <c r="CL19" s="82">
        <f>Sheet2!CC4</f>
        <v>6</v>
      </c>
      <c r="CM19" s="82">
        <f>Sheet2!CD4</f>
        <v>7</v>
      </c>
      <c r="CN19" s="82">
        <f>Sheet2!CE4</f>
        <v>1</v>
      </c>
      <c r="CO19" s="82">
        <f>Sheet2!CF4</f>
        <v>2</v>
      </c>
      <c r="CP19" s="82">
        <f>Sheet2!CG4</f>
        <v>3</v>
      </c>
      <c r="CQ19" s="82">
        <f>Sheet2!CH4</f>
        <v>4</v>
      </c>
      <c r="CR19" s="82">
        <f>Sheet2!CI4</f>
        <v>5</v>
      </c>
      <c r="CS19" s="82">
        <f>Sheet2!CJ4</f>
        <v>6</v>
      </c>
      <c r="CT19" s="82">
        <f>Sheet2!CK4</f>
        <v>7</v>
      </c>
      <c r="CU19" s="82">
        <v>1</v>
      </c>
      <c r="CV19" s="82">
        <v>2</v>
      </c>
      <c r="CW19" s="82">
        <v>3</v>
      </c>
      <c r="CX19" s="82">
        <v>4</v>
      </c>
      <c r="CY19" s="82">
        <v>5</v>
      </c>
      <c r="CZ19" s="82">
        <v>6</v>
      </c>
      <c r="DA19" s="82">
        <v>7</v>
      </c>
    </row>
    <row r="20" spans="14:105" s="82" customFormat="1" ht="24.95" hidden="1" customHeight="1" x14ac:dyDescent="0.25">
      <c r="N20" s="82">
        <f>Sheet2!E5</f>
        <v>1</v>
      </c>
      <c r="O20" s="87">
        <f>Sheet2!F5</f>
        <v>0</v>
      </c>
      <c r="P20" s="31">
        <f>Sheet2!G5</f>
        <v>0</v>
      </c>
      <c r="Q20" s="31">
        <f>Sheet2!H5</f>
        <v>1</v>
      </c>
      <c r="R20" s="31">
        <f>Sheet2!I5</f>
        <v>1</v>
      </c>
      <c r="S20" s="31">
        <f>Sheet2!J5</f>
        <v>1</v>
      </c>
      <c r="T20" s="31">
        <f>Sheet2!K5</f>
        <v>0</v>
      </c>
      <c r="U20" s="85">
        <f>Sheet2!L5</f>
        <v>0</v>
      </c>
      <c r="V20" s="87">
        <f>Sheet2!M5</f>
        <v>0</v>
      </c>
      <c r="W20" s="31">
        <f>Sheet2!N5</f>
        <v>0</v>
      </c>
      <c r="X20" s="31">
        <f>Sheet2!O5</f>
        <v>0</v>
      </c>
      <c r="Y20" s="31">
        <f>Sheet2!P5</f>
        <v>0</v>
      </c>
      <c r="Z20" s="31">
        <f>Sheet2!Q5</f>
        <v>0</v>
      </c>
      <c r="AA20" s="31">
        <f>Sheet2!R5</f>
        <v>0</v>
      </c>
      <c r="AB20" s="85">
        <f>Sheet2!S5</f>
        <v>0</v>
      </c>
      <c r="AC20" s="87">
        <f>Sheet2!T5</f>
        <v>0</v>
      </c>
      <c r="AD20" s="31">
        <f>Sheet2!U5</f>
        <v>0</v>
      </c>
      <c r="AE20" s="31">
        <f>Sheet2!V5</f>
        <v>1</v>
      </c>
      <c r="AF20" s="31">
        <f>Sheet2!W5</f>
        <v>1</v>
      </c>
      <c r="AG20" s="31">
        <f>Sheet2!X5</f>
        <v>1</v>
      </c>
      <c r="AH20" s="31">
        <f>Sheet2!Y5</f>
        <v>0</v>
      </c>
      <c r="AI20" s="85">
        <f>Sheet2!Z5</f>
        <v>0</v>
      </c>
      <c r="AJ20" s="87">
        <f>Sheet2!AA5</f>
        <v>0</v>
      </c>
      <c r="AK20" s="31">
        <f>Sheet2!AB5</f>
        <v>0</v>
      </c>
      <c r="AL20" s="31">
        <f>Sheet2!AC5</f>
        <v>1</v>
      </c>
      <c r="AM20" s="31">
        <f>Sheet2!AD5</f>
        <v>1</v>
      </c>
      <c r="AN20" s="31">
        <f>Sheet2!AE5</f>
        <v>1</v>
      </c>
      <c r="AO20" s="31">
        <f>Sheet2!AF5</f>
        <v>0</v>
      </c>
      <c r="AP20" s="85">
        <f>Sheet2!AG5</f>
        <v>0</v>
      </c>
      <c r="AQ20" s="87">
        <f>Sheet2!AH5</f>
        <v>0</v>
      </c>
      <c r="AR20" s="31">
        <f>Sheet2!AI5</f>
        <v>0</v>
      </c>
      <c r="AS20" s="31">
        <f>Sheet2!AJ5</f>
        <v>0</v>
      </c>
      <c r="AT20" s="31">
        <f>Sheet2!AK5</f>
        <v>0</v>
      </c>
      <c r="AU20" s="31">
        <f>Sheet2!AL5</f>
        <v>0</v>
      </c>
      <c r="AV20" s="31">
        <f>Sheet2!AM5</f>
        <v>0</v>
      </c>
      <c r="AW20" s="85">
        <f>Sheet2!AN5</f>
        <v>0</v>
      </c>
      <c r="AX20" s="87">
        <f>Sheet2!AO5</f>
        <v>0</v>
      </c>
      <c r="AY20" s="31">
        <f>Sheet2!AP5</f>
        <v>0</v>
      </c>
      <c r="AZ20" s="31">
        <f>Sheet2!AQ5</f>
        <v>1</v>
      </c>
      <c r="BA20" s="31">
        <f>Sheet2!AR5</f>
        <v>1</v>
      </c>
      <c r="BB20" s="31">
        <f>Sheet2!AS5</f>
        <v>1</v>
      </c>
      <c r="BC20" s="31">
        <f>Sheet2!AT5</f>
        <v>0</v>
      </c>
      <c r="BD20" s="85">
        <f>Sheet2!AU5</f>
        <v>0</v>
      </c>
      <c r="BE20" s="87">
        <f>Sheet2!AV5</f>
        <v>0</v>
      </c>
      <c r="BF20" s="31">
        <f>Sheet2!AW5</f>
        <v>0</v>
      </c>
      <c r="BG20" s="31">
        <f>Sheet2!AX5</f>
        <v>1</v>
      </c>
      <c r="BH20" s="31">
        <f>Sheet2!AY5</f>
        <v>1</v>
      </c>
      <c r="BI20" s="31">
        <f>Sheet2!AZ5</f>
        <v>1</v>
      </c>
      <c r="BJ20" s="31">
        <f>Sheet2!BA5</f>
        <v>0</v>
      </c>
      <c r="BK20" s="85">
        <f>Sheet2!BB5</f>
        <v>0</v>
      </c>
      <c r="BL20" s="87">
        <f>Sheet2!BC5</f>
        <v>0</v>
      </c>
      <c r="BM20" s="31">
        <f>Sheet2!BD5</f>
        <v>0</v>
      </c>
      <c r="BN20" s="31">
        <f>Sheet2!BE5</f>
        <v>1</v>
      </c>
      <c r="BO20" s="31">
        <f>Sheet2!BF5</f>
        <v>1</v>
      </c>
      <c r="BP20" s="31">
        <f>Sheet2!BG5</f>
        <v>1</v>
      </c>
      <c r="BQ20" s="31">
        <f>Sheet2!BH5</f>
        <v>0</v>
      </c>
      <c r="BR20" s="85">
        <f>Sheet2!BI5</f>
        <v>0</v>
      </c>
      <c r="BS20" s="87">
        <f>Sheet2!BJ5</f>
        <v>0</v>
      </c>
      <c r="BT20" s="31">
        <f>Sheet2!BK5</f>
        <v>0</v>
      </c>
      <c r="BU20" s="31">
        <f>Sheet2!BL5</f>
        <v>1</v>
      </c>
      <c r="BV20" s="31">
        <f>Sheet2!BM5</f>
        <v>1</v>
      </c>
      <c r="BW20" s="31">
        <f>Sheet2!BN5</f>
        <v>1</v>
      </c>
      <c r="BX20" s="31">
        <f>Sheet2!BO5</f>
        <v>0</v>
      </c>
      <c r="BY20" s="85">
        <f>Sheet2!BP5</f>
        <v>0</v>
      </c>
      <c r="BZ20" s="87">
        <f>Sheet2!BQ5</f>
        <v>0</v>
      </c>
      <c r="CA20" s="31">
        <f>Sheet2!BR5</f>
        <v>0</v>
      </c>
      <c r="CB20" s="31">
        <f>Sheet2!BS5</f>
        <v>1</v>
      </c>
      <c r="CC20" s="31">
        <f>Sheet2!BT5</f>
        <v>1</v>
      </c>
      <c r="CD20" s="31">
        <f>Sheet2!BU5</f>
        <v>1</v>
      </c>
      <c r="CE20" s="31">
        <f>Sheet2!BV5</f>
        <v>0</v>
      </c>
      <c r="CF20" s="85">
        <f>Sheet2!BW5</f>
        <v>0</v>
      </c>
      <c r="CG20" s="87">
        <f>Sheet2!BX5</f>
        <v>0</v>
      </c>
      <c r="CH20" s="31">
        <f>Sheet2!BY5</f>
        <v>0</v>
      </c>
      <c r="CI20" s="31">
        <f>Sheet2!BZ5</f>
        <v>0</v>
      </c>
      <c r="CJ20" s="31">
        <f>Sheet2!CA5</f>
        <v>0</v>
      </c>
      <c r="CK20" s="31">
        <f>Sheet2!CB5</f>
        <v>0</v>
      </c>
      <c r="CL20" s="31">
        <f>Sheet2!CC5</f>
        <v>0</v>
      </c>
      <c r="CM20" s="85">
        <f>Sheet2!CD5</f>
        <v>0</v>
      </c>
      <c r="CN20" s="87">
        <f>Sheet2!CE5</f>
        <v>0</v>
      </c>
      <c r="CO20" s="31">
        <f>Sheet2!CF5</f>
        <v>0</v>
      </c>
      <c r="CP20" s="31">
        <f>Sheet2!CG5</f>
        <v>1</v>
      </c>
      <c r="CQ20" s="31">
        <f>Sheet2!CH5</f>
        <v>1</v>
      </c>
      <c r="CR20" s="31">
        <f>Sheet2!CI5</f>
        <v>1</v>
      </c>
      <c r="CS20" s="31">
        <f>Sheet2!CJ5</f>
        <v>0</v>
      </c>
      <c r="CT20" s="85">
        <f>Sheet2!CK5</f>
        <v>0</v>
      </c>
      <c r="CU20" s="87">
        <v>0</v>
      </c>
      <c r="CV20" s="31">
        <v>1</v>
      </c>
      <c r="CW20" s="31">
        <v>1</v>
      </c>
      <c r="CX20" s="31">
        <v>1</v>
      </c>
      <c r="CY20" s="31">
        <v>1</v>
      </c>
      <c r="CZ20" s="31">
        <v>1</v>
      </c>
      <c r="DA20" s="85">
        <v>0</v>
      </c>
    </row>
    <row r="21" spans="14:105" ht="24.95" hidden="1" customHeight="1" x14ac:dyDescent="0.25">
      <c r="N21">
        <f>Sheet2!E6</f>
        <v>2</v>
      </c>
      <c r="O21" s="88">
        <f>Sheet2!F6</f>
        <v>0</v>
      </c>
      <c r="P21" s="26">
        <f>Sheet2!G6</f>
        <v>1</v>
      </c>
      <c r="Q21" s="26">
        <f>Sheet2!H6</f>
        <v>0</v>
      </c>
      <c r="R21" s="26">
        <f>Sheet2!I6</f>
        <v>0</v>
      </c>
      <c r="S21" s="26">
        <f>Sheet2!J6</f>
        <v>0</v>
      </c>
      <c r="T21" s="26">
        <f>Sheet2!K6</f>
        <v>1</v>
      </c>
      <c r="U21" s="86">
        <f>Sheet2!L6</f>
        <v>0</v>
      </c>
      <c r="V21" s="88">
        <f>Sheet2!M6</f>
        <v>0</v>
      </c>
      <c r="W21" s="26">
        <f>Sheet2!N6</f>
        <v>0</v>
      </c>
      <c r="X21" s="26">
        <f>Sheet2!O6</f>
        <v>0</v>
      </c>
      <c r="Y21" s="26">
        <f>Sheet2!P6</f>
        <v>0</v>
      </c>
      <c r="Z21" s="26">
        <f>Sheet2!Q6</f>
        <v>0</v>
      </c>
      <c r="AA21" s="26">
        <f>Sheet2!R6</f>
        <v>1</v>
      </c>
      <c r="AB21" s="86">
        <f>Sheet2!S6</f>
        <v>0</v>
      </c>
      <c r="AC21" s="88">
        <f>Sheet2!T6</f>
        <v>0</v>
      </c>
      <c r="AD21" s="26">
        <f>Sheet2!U6</f>
        <v>0</v>
      </c>
      <c r="AE21" s="26">
        <f>Sheet2!V6</f>
        <v>0</v>
      </c>
      <c r="AF21" s="26">
        <f>Sheet2!W6</f>
        <v>0</v>
      </c>
      <c r="AG21" s="26">
        <f>Sheet2!X6</f>
        <v>0</v>
      </c>
      <c r="AH21" s="26">
        <f>Sheet2!Y6</f>
        <v>1</v>
      </c>
      <c r="AI21" s="86">
        <f>Sheet2!Z6</f>
        <v>0</v>
      </c>
      <c r="AJ21" s="88">
        <f>Sheet2!AA6</f>
        <v>0</v>
      </c>
      <c r="AK21" s="26">
        <f>Sheet2!AB6</f>
        <v>0</v>
      </c>
      <c r="AL21" s="26">
        <f>Sheet2!AC6</f>
        <v>0</v>
      </c>
      <c r="AM21" s="26">
        <f>Sheet2!AD6</f>
        <v>0</v>
      </c>
      <c r="AN21" s="26">
        <f>Sheet2!AE6</f>
        <v>0</v>
      </c>
      <c r="AO21" s="26">
        <f>Sheet2!AF6</f>
        <v>1</v>
      </c>
      <c r="AP21" s="86">
        <f>Sheet2!AG6</f>
        <v>0</v>
      </c>
      <c r="AQ21" s="88">
        <f>Sheet2!AH6</f>
        <v>0</v>
      </c>
      <c r="AR21" s="26">
        <f>Sheet2!AI6</f>
        <v>1</v>
      </c>
      <c r="AS21" s="26">
        <f>Sheet2!AJ6</f>
        <v>0</v>
      </c>
      <c r="AT21" s="26">
        <f>Sheet2!AK6</f>
        <v>0</v>
      </c>
      <c r="AU21" s="26">
        <f>Sheet2!AL6</f>
        <v>0</v>
      </c>
      <c r="AV21" s="26">
        <f>Sheet2!AM6</f>
        <v>1</v>
      </c>
      <c r="AW21" s="86">
        <f>Sheet2!AN6</f>
        <v>0</v>
      </c>
      <c r="AX21" s="88">
        <f>Sheet2!AO6</f>
        <v>0</v>
      </c>
      <c r="AY21" s="26">
        <f>Sheet2!AP6</f>
        <v>1</v>
      </c>
      <c r="AZ21" s="26">
        <f>Sheet2!AQ6</f>
        <v>0</v>
      </c>
      <c r="BA21" s="26">
        <f>Sheet2!AR6</f>
        <v>0</v>
      </c>
      <c r="BB21" s="26">
        <f>Sheet2!AS6</f>
        <v>0</v>
      </c>
      <c r="BC21" s="26">
        <f>Sheet2!AT6</f>
        <v>0</v>
      </c>
      <c r="BD21" s="86">
        <f>Sheet2!AU6</f>
        <v>0</v>
      </c>
      <c r="BE21" s="88">
        <f>Sheet2!AV6</f>
        <v>0</v>
      </c>
      <c r="BF21" s="26">
        <f>Sheet2!AW6</f>
        <v>1</v>
      </c>
      <c r="BG21" s="26">
        <f>Sheet2!AX6</f>
        <v>0</v>
      </c>
      <c r="BH21" s="26">
        <f>Sheet2!AY6</f>
        <v>0</v>
      </c>
      <c r="BI21" s="26">
        <f>Sheet2!AZ6</f>
        <v>0</v>
      </c>
      <c r="BJ21" s="26">
        <f>Sheet2!BA6</f>
        <v>0</v>
      </c>
      <c r="BK21" s="86">
        <f>Sheet2!BB6</f>
        <v>0</v>
      </c>
      <c r="BL21" s="88">
        <f>Sheet2!BC6</f>
        <v>0</v>
      </c>
      <c r="BM21" s="26">
        <f>Sheet2!BD6</f>
        <v>0</v>
      </c>
      <c r="BN21" s="26">
        <f>Sheet2!BE6</f>
        <v>0</v>
      </c>
      <c r="BO21" s="26">
        <f>Sheet2!BF6</f>
        <v>0</v>
      </c>
      <c r="BP21" s="26">
        <f>Sheet2!BG6</f>
        <v>0</v>
      </c>
      <c r="BQ21" s="26">
        <f>Sheet2!BH6</f>
        <v>1</v>
      </c>
      <c r="BR21" s="86">
        <f>Sheet2!BI6</f>
        <v>0</v>
      </c>
      <c r="BS21" s="88">
        <f>Sheet2!BJ6</f>
        <v>0</v>
      </c>
      <c r="BT21" s="26">
        <f>Sheet2!BK6</f>
        <v>1</v>
      </c>
      <c r="BU21" s="26">
        <f>Sheet2!BL6</f>
        <v>0</v>
      </c>
      <c r="BV21" s="26">
        <f>Sheet2!BM6</f>
        <v>0</v>
      </c>
      <c r="BW21" s="26">
        <f>Sheet2!BN6</f>
        <v>0</v>
      </c>
      <c r="BX21" s="26">
        <f>Sheet2!BO6</f>
        <v>1</v>
      </c>
      <c r="BY21" s="86">
        <f>Sheet2!BP6</f>
        <v>0</v>
      </c>
      <c r="BZ21" s="88">
        <f>Sheet2!BQ6</f>
        <v>0</v>
      </c>
      <c r="CA21" s="26">
        <f>Sheet2!BR6</f>
        <v>1</v>
      </c>
      <c r="CB21" s="26">
        <f>Sheet2!BS6</f>
        <v>0</v>
      </c>
      <c r="CC21" s="26">
        <f>Sheet2!BT6</f>
        <v>0</v>
      </c>
      <c r="CD21" s="26">
        <f>Sheet2!BU6</f>
        <v>0</v>
      </c>
      <c r="CE21" s="26">
        <f>Sheet2!BV6</f>
        <v>1</v>
      </c>
      <c r="CF21" s="86">
        <f>Sheet2!BW6</f>
        <v>0</v>
      </c>
      <c r="CG21" s="88">
        <f>Sheet2!BX6</f>
        <v>0</v>
      </c>
      <c r="CH21" s="26">
        <f>Sheet2!BY6</f>
        <v>0</v>
      </c>
      <c r="CI21" s="26">
        <f>Sheet2!BZ6</f>
        <v>0</v>
      </c>
      <c r="CJ21" s="26">
        <f>Sheet2!CA6</f>
        <v>0</v>
      </c>
      <c r="CK21" s="26">
        <f>Sheet2!CB6</f>
        <v>0</v>
      </c>
      <c r="CL21" s="26">
        <f>Sheet2!CC6</f>
        <v>0</v>
      </c>
      <c r="CM21" s="86">
        <f>Sheet2!CD6</f>
        <v>0</v>
      </c>
      <c r="CN21" s="88">
        <f>Sheet2!CE6</f>
        <v>0</v>
      </c>
      <c r="CO21" s="26">
        <f>Sheet2!CF6</f>
        <v>1</v>
      </c>
      <c r="CP21" s="26">
        <f>Sheet2!CG6</f>
        <v>0</v>
      </c>
      <c r="CQ21" s="26">
        <f>Sheet2!CH6</f>
        <v>0</v>
      </c>
      <c r="CR21" s="26">
        <f>Sheet2!CI6</f>
        <v>0</v>
      </c>
      <c r="CS21" s="26">
        <f>Sheet2!CJ6</f>
        <v>0</v>
      </c>
      <c r="CT21" s="86">
        <f>Sheet2!CK6</f>
        <v>0</v>
      </c>
      <c r="CU21" s="88">
        <v>0</v>
      </c>
      <c r="CV21" s="26">
        <v>1</v>
      </c>
      <c r="CW21" s="26">
        <v>0</v>
      </c>
      <c r="CX21" s="26">
        <v>0</v>
      </c>
      <c r="CY21" s="26">
        <v>0</v>
      </c>
      <c r="CZ21" s="26">
        <v>0</v>
      </c>
      <c r="DA21" s="86">
        <v>0</v>
      </c>
    </row>
    <row r="22" spans="14:105" s="82" customFormat="1" ht="24.95" hidden="1" customHeight="1" x14ac:dyDescent="0.25">
      <c r="N22" s="82">
        <f>Sheet2!E7</f>
        <v>3</v>
      </c>
      <c r="O22" s="88">
        <f>Sheet2!F7</f>
        <v>0</v>
      </c>
      <c r="P22" s="26">
        <f>Sheet2!G7</f>
        <v>1</v>
      </c>
      <c r="Q22" s="26">
        <f>Sheet2!H7</f>
        <v>0</v>
      </c>
      <c r="R22" s="26">
        <f>Sheet2!I7</f>
        <v>0</v>
      </c>
      <c r="S22" s="26">
        <f>Sheet2!J7</f>
        <v>0</v>
      </c>
      <c r="T22" s="26">
        <f>Sheet2!K7</f>
        <v>1</v>
      </c>
      <c r="U22" s="86">
        <f>Sheet2!L7</f>
        <v>0</v>
      </c>
      <c r="V22" s="88">
        <f>Sheet2!M7</f>
        <v>0</v>
      </c>
      <c r="W22" s="26">
        <f>Sheet2!N7</f>
        <v>0</v>
      </c>
      <c r="X22" s="26">
        <f>Sheet2!O7</f>
        <v>0</v>
      </c>
      <c r="Y22" s="26">
        <f>Sheet2!P7</f>
        <v>0</v>
      </c>
      <c r="Z22" s="26">
        <f>Sheet2!Q7</f>
        <v>0</v>
      </c>
      <c r="AA22" s="26">
        <f>Sheet2!R7</f>
        <v>1</v>
      </c>
      <c r="AB22" s="86">
        <f>Sheet2!S7</f>
        <v>0</v>
      </c>
      <c r="AC22" s="88">
        <f>Sheet2!T7</f>
        <v>0</v>
      </c>
      <c r="AD22" s="26">
        <f>Sheet2!U7</f>
        <v>0</v>
      </c>
      <c r="AE22" s="26">
        <f>Sheet2!V7</f>
        <v>0</v>
      </c>
      <c r="AF22" s="26">
        <f>Sheet2!W7</f>
        <v>0</v>
      </c>
      <c r="AG22" s="26">
        <f>Sheet2!X7</f>
        <v>0</v>
      </c>
      <c r="AH22" s="26">
        <f>Sheet2!Y7</f>
        <v>1</v>
      </c>
      <c r="AI22" s="86">
        <f>Sheet2!Z7</f>
        <v>0</v>
      </c>
      <c r="AJ22" s="88">
        <f>Sheet2!AA7</f>
        <v>0</v>
      </c>
      <c r="AK22" s="26">
        <f>Sheet2!AB7</f>
        <v>0</v>
      </c>
      <c r="AL22" s="26">
        <f>Sheet2!AC7</f>
        <v>0</v>
      </c>
      <c r="AM22" s="26">
        <f>Sheet2!AD7</f>
        <v>0</v>
      </c>
      <c r="AN22" s="26">
        <f>Sheet2!AE7</f>
        <v>0</v>
      </c>
      <c r="AO22" s="26">
        <f>Sheet2!AF7</f>
        <v>1</v>
      </c>
      <c r="AP22" s="86">
        <f>Sheet2!AG7</f>
        <v>0</v>
      </c>
      <c r="AQ22" s="88">
        <f>Sheet2!AH7</f>
        <v>0</v>
      </c>
      <c r="AR22" s="26">
        <f>Sheet2!AI7</f>
        <v>1</v>
      </c>
      <c r="AS22" s="26">
        <f>Sheet2!AJ7</f>
        <v>0</v>
      </c>
      <c r="AT22" s="26">
        <f>Sheet2!AK7</f>
        <v>0</v>
      </c>
      <c r="AU22" s="26">
        <f>Sheet2!AL7</f>
        <v>0</v>
      </c>
      <c r="AV22" s="26">
        <f>Sheet2!AM7</f>
        <v>1</v>
      </c>
      <c r="AW22" s="86">
        <f>Sheet2!AN7</f>
        <v>0</v>
      </c>
      <c r="AX22" s="88">
        <f>Sheet2!AO7</f>
        <v>0</v>
      </c>
      <c r="AY22" s="26">
        <f>Sheet2!AP7</f>
        <v>1</v>
      </c>
      <c r="AZ22" s="26">
        <f>Sheet2!AQ7</f>
        <v>0</v>
      </c>
      <c r="BA22" s="26">
        <f>Sheet2!AR7</f>
        <v>0</v>
      </c>
      <c r="BB22" s="26">
        <f>Sheet2!AS7</f>
        <v>0</v>
      </c>
      <c r="BC22" s="26">
        <f>Sheet2!AT7</f>
        <v>0</v>
      </c>
      <c r="BD22" s="86">
        <f>Sheet2!AU7</f>
        <v>0</v>
      </c>
      <c r="BE22" s="88">
        <f>Sheet2!AV7</f>
        <v>0</v>
      </c>
      <c r="BF22" s="26">
        <f>Sheet2!AW7</f>
        <v>1</v>
      </c>
      <c r="BG22" s="26">
        <f>Sheet2!AX7</f>
        <v>0</v>
      </c>
      <c r="BH22" s="26">
        <f>Sheet2!AY7</f>
        <v>0</v>
      </c>
      <c r="BI22" s="26">
        <f>Sheet2!AZ7</f>
        <v>0</v>
      </c>
      <c r="BJ22" s="26">
        <f>Sheet2!BA7</f>
        <v>0</v>
      </c>
      <c r="BK22" s="86">
        <f>Sheet2!BB7</f>
        <v>0</v>
      </c>
      <c r="BL22" s="88">
        <f>Sheet2!BC7</f>
        <v>0</v>
      </c>
      <c r="BM22" s="26">
        <f>Sheet2!BD7</f>
        <v>0</v>
      </c>
      <c r="BN22" s="26">
        <f>Sheet2!BE7</f>
        <v>0</v>
      </c>
      <c r="BO22" s="26">
        <f>Sheet2!BF7</f>
        <v>0</v>
      </c>
      <c r="BP22" s="26">
        <f>Sheet2!BG7</f>
        <v>0</v>
      </c>
      <c r="BQ22" s="26">
        <f>Sheet2!BH7</f>
        <v>1</v>
      </c>
      <c r="BR22" s="86">
        <f>Sheet2!BI7</f>
        <v>0</v>
      </c>
      <c r="BS22" s="88">
        <f>Sheet2!BJ7</f>
        <v>0</v>
      </c>
      <c r="BT22" s="26">
        <f>Sheet2!BK7</f>
        <v>1</v>
      </c>
      <c r="BU22" s="26">
        <f>Sheet2!BL7</f>
        <v>0</v>
      </c>
      <c r="BV22" s="26">
        <f>Sheet2!BM7</f>
        <v>0</v>
      </c>
      <c r="BW22" s="26">
        <f>Sheet2!BN7</f>
        <v>0</v>
      </c>
      <c r="BX22" s="26">
        <f>Sheet2!BO7</f>
        <v>1</v>
      </c>
      <c r="BY22" s="86">
        <f>Sheet2!BP7</f>
        <v>0</v>
      </c>
      <c r="BZ22" s="88">
        <f>Sheet2!BQ7</f>
        <v>0</v>
      </c>
      <c r="CA22" s="26">
        <f>Sheet2!BR7</f>
        <v>1</v>
      </c>
      <c r="CB22" s="26">
        <f>Sheet2!BS7</f>
        <v>0</v>
      </c>
      <c r="CC22" s="26">
        <f>Sheet2!BT7</f>
        <v>0</v>
      </c>
      <c r="CD22" s="26">
        <f>Sheet2!BU7</f>
        <v>0</v>
      </c>
      <c r="CE22" s="26">
        <f>Sheet2!BV7</f>
        <v>1</v>
      </c>
      <c r="CF22" s="86">
        <f>Sheet2!BW7</f>
        <v>0</v>
      </c>
      <c r="CG22" s="88">
        <f>Sheet2!BX7</f>
        <v>0</v>
      </c>
      <c r="CH22" s="26">
        <f>Sheet2!BY7</f>
        <v>0</v>
      </c>
      <c r="CI22" s="26">
        <f>Sheet2!BZ7</f>
        <v>0</v>
      </c>
      <c r="CJ22" s="26">
        <f>Sheet2!CA7</f>
        <v>0</v>
      </c>
      <c r="CK22" s="26">
        <f>Sheet2!CB7</f>
        <v>0</v>
      </c>
      <c r="CL22" s="26">
        <f>Sheet2!CC7</f>
        <v>0</v>
      </c>
      <c r="CM22" s="86">
        <f>Sheet2!CD7</f>
        <v>0</v>
      </c>
      <c r="CN22" s="88">
        <f>Sheet2!CE7</f>
        <v>0</v>
      </c>
      <c r="CO22" s="26">
        <f>Sheet2!CF7</f>
        <v>1</v>
      </c>
      <c r="CP22" s="26">
        <f>Sheet2!CG7</f>
        <v>0</v>
      </c>
      <c r="CQ22" s="26">
        <f>Sheet2!CH7</f>
        <v>0</v>
      </c>
      <c r="CR22" s="26">
        <f>Sheet2!CI7</f>
        <v>0</v>
      </c>
      <c r="CS22" s="26">
        <f>Sheet2!CJ7</f>
        <v>0</v>
      </c>
      <c r="CT22" s="86">
        <f>Sheet2!CK7</f>
        <v>0</v>
      </c>
      <c r="CU22" s="88">
        <v>0</v>
      </c>
      <c r="CV22" s="92">
        <v>1</v>
      </c>
      <c r="CW22" s="92">
        <v>0</v>
      </c>
      <c r="CX22" s="92">
        <v>0</v>
      </c>
      <c r="CY22" s="92">
        <v>0</v>
      </c>
      <c r="CZ22" s="92">
        <v>0</v>
      </c>
      <c r="DA22" s="86">
        <v>0</v>
      </c>
    </row>
    <row r="23" spans="14:105" ht="24.95" hidden="1" customHeight="1" x14ac:dyDescent="0.25">
      <c r="N23">
        <f>Sheet2!E8</f>
        <v>4</v>
      </c>
      <c r="O23" s="88">
        <f>Sheet2!F8</f>
        <v>0</v>
      </c>
      <c r="P23" s="26">
        <f>Sheet2!G8</f>
        <v>1</v>
      </c>
      <c r="Q23" s="26">
        <f>Sheet2!H8</f>
        <v>0</v>
      </c>
      <c r="R23" s="26">
        <f>Sheet2!I8</f>
        <v>0</v>
      </c>
      <c r="S23" s="26">
        <f>Sheet2!J8</f>
        <v>0</v>
      </c>
      <c r="T23" s="26">
        <f>Sheet2!K8</f>
        <v>1</v>
      </c>
      <c r="U23" s="86">
        <f>Sheet2!L8</f>
        <v>0</v>
      </c>
      <c r="V23" s="88">
        <f>Sheet2!M8</f>
        <v>0</v>
      </c>
      <c r="W23" s="26">
        <f>Sheet2!N8</f>
        <v>0</v>
      </c>
      <c r="X23" s="26">
        <f>Sheet2!O8</f>
        <v>0</v>
      </c>
      <c r="Y23" s="26">
        <f>Sheet2!P8</f>
        <v>0</v>
      </c>
      <c r="Z23" s="26">
        <f>Sheet2!Q8</f>
        <v>0</v>
      </c>
      <c r="AA23" s="26">
        <f>Sheet2!R8</f>
        <v>1</v>
      </c>
      <c r="AB23" s="86">
        <f>Sheet2!S8</f>
        <v>0</v>
      </c>
      <c r="AC23" s="88">
        <f>Sheet2!T8</f>
        <v>0</v>
      </c>
      <c r="AD23" s="26">
        <f>Sheet2!U8</f>
        <v>0</v>
      </c>
      <c r="AE23" s="26">
        <f>Sheet2!V8</f>
        <v>0</v>
      </c>
      <c r="AF23" s="26">
        <f>Sheet2!W8</f>
        <v>0</v>
      </c>
      <c r="AG23" s="26">
        <f>Sheet2!X8</f>
        <v>0</v>
      </c>
      <c r="AH23" s="26">
        <f>Sheet2!Y8</f>
        <v>1</v>
      </c>
      <c r="AI23" s="86">
        <f>Sheet2!Z8</f>
        <v>0</v>
      </c>
      <c r="AJ23" s="88">
        <f>Sheet2!AA8</f>
        <v>0</v>
      </c>
      <c r="AK23" s="26">
        <f>Sheet2!AB8</f>
        <v>0</v>
      </c>
      <c r="AL23" s="26">
        <f>Sheet2!AC8</f>
        <v>0</v>
      </c>
      <c r="AM23" s="26">
        <f>Sheet2!AD8</f>
        <v>0</v>
      </c>
      <c r="AN23" s="26">
        <f>Sheet2!AE8</f>
        <v>0</v>
      </c>
      <c r="AO23" s="26">
        <f>Sheet2!AF8</f>
        <v>1</v>
      </c>
      <c r="AP23" s="86">
        <f>Sheet2!AG8</f>
        <v>0</v>
      </c>
      <c r="AQ23" s="88">
        <f>Sheet2!AH8</f>
        <v>0</v>
      </c>
      <c r="AR23" s="26">
        <f>Sheet2!AI8</f>
        <v>1</v>
      </c>
      <c r="AS23" s="26">
        <f>Sheet2!AJ8</f>
        <v>0</v>
      </c>
      <c r="AT23" s="26">
        <f>Sheet2!AK8</f>
        <v>0</v>
      </c>
      <c r="AU23" s="26">
        <f>Sheet2!AL8</f>
        <v>0</v>
      </c>
      <c r="AV23" s="26">
        <f>Sheet2!AM8</f>
        <v>1</v>
      </c>
      <c r="AW23" s="86">
        <f>Sheet2!AN8</f>
        <v>0</v>
      </c>
      <c r="AX23" s="88">
        <f>Sheet2!AO8</f>
        <v>0</v>
      </c>
      <c r="AY23" s="26">
        <f>Sheet2!AP8</f>
        <v>1</v>
      </c>
      <c r="AZ23" s="26">
        <f>Sheet2!AQ8</f>
        <v>0</v>
      </c>
      <c r="BA23" s="26">
        <f>Sheet2!AR8</f>
        <v>0</v>
      </c>
      <c r="BB23" s="26">
        <f>Sheet2!AS8</f>
        <v>0</v>
      </c>
      <c r="BC23" s="26">
        <f>Sheet2!AT8</f>
        <v>0</v>
      </c>
      <c r="BD23" s="86">
        <f>Sheet2!AU8</f>
        <v>0</v>
      </c>
      <c r="BE23" s="88">
        <f>Sheet2!AV8</f>
        <v>0</v>
      </c>
      <c r="BF23" s="26">
        <f>Sheet2!AW8</f>
        <v>1</v>
      </c>
      <c r="BG23" s="26">
        <f>Sheet2!AX8</f>
        <v>0</v>
      </c>
      <c r="BH23" s="26">
        <f>Sheet2!AY8</f>
        <v>0</v>
      </c>
      <c r="BI23" s="26">
        <f>Sheet2!AZ8</f>
        <v>0</v>
      </c>
      <c r="BJ23" s="26">
        <f>Sheet2!BA8</f>
        <v>0</v>
      </c>
      <c r="BK23" s="86">
        <f>Sheet2!BB8</f>
        <v>0</v>
      </c>
      <c r="BL23" s="88">
        <f>Sheet2!BC8</f>
        <v>0</v>
      </c>
      <c r="BM23" s="26">
        <f>Sheet2!BD8</f>
        <v>0</v>
      </c>
      <c r="BN23" s="26">
        <f>Sheet2!BE8</f>
        <v>0</v>
      </c>
      <c r="BO23" s="26">
        <f>Sheet2!BF8</f>
        <v>0</v>
      </c>
      <c r="BP23" s="26">
        <f>Sheet2!BG8</f>
        <v>0</v>
      </c>
      <c r="BQ23" s="26">
        <f>Sheet2!BH8</f>
        <v>1</v>
      </c>
      <c r="BR23" s="86">
        <f>Sheet2!BI8</f>
        <v>0</v>
      </c>
      <c r="BS23" s="88">
        <f>Sheet2!BJ8</f>
        <v>0</v>
      </c>
      <c r="BT23" s="26">
        <f>Sheet2!BK8</f>
        <v>1</v>
      </c>
      <c r="BU23" s="26">
        <f>Sheet2!BL8</f>
        <v>0</v>
      </c>
      <c r="BV23" s="26">
        <f>Sheet2!BM8</f>
        <v>0</v>
      </c>
      <c r="BW23" s="26">
        <f>Sheet2!BN8</f>
        <v>0</v>
      </c>
      <c r="BX23" s="26">
        <f>Sheet2!BO8</f>
        <v>1</v>
      </c>
      <c r="BY23" s="86">
        <f>Sheet2!BP8</f>
        <v>0</v>
      </c>
      <c r="BZ23" s="88">
        <f>Sheet2!BQ8</f>
        <v>0</v>
      </c>
      <c r="CA23" s="26">
        <f>Sheet2!BR8</f>
        <v>1</v>
      </c>
      <c r="CB23" s="26">
        <f>Sheet2!BS8</f>
        <v>0</v>
      </c>
      <c r="CC23" s="26">
        <f>Sheet2!BT8</f>
        <v>0</v>
      </c>
      <c r="CD23" s="26">
        <f>Sheet2!BU8</f>
        <v>0</v>
      </c>
      <c r="CE23" s="26">
        <f>Sheet2!BV8</f>
        <v>1</v>
      </c>
      <c r="CF23" s="86">
        <f>Sheet2!BW8</f>
        <v>0</v>
      </c>
      <c r="CG23" s="88">
        <f>Sheet2!BX8</f>
        <v>0</v>
      </c>
      <c r="CH23" s="26">
        <f>Sheet2!BY8</f>
        <v>0</v>
      </c>
      <c r="CI23" s="26">
        <f>Sheet2!BZ8</f>
        <v>0</v>
      </c>
      <c r="CJ23" s="26">
        <f>Sheet2!CA8</f>
        <v>0</v>
      </c>
      <c r="CK23" s="26">
        <f>Sheet2!CB8</f>
        <v>0</v>
      </c>
      <c r="CL23" s="26">
        <f>Sheet2!CC8</f>
        <v>0</v>
      </c>
      <c r="CM23" s="86">
        <f>Sheet2!CD8</f>
        <v>0</v>
      </c>
      <c r="CN23" s="88">
        <f>Sheet2!CE8</f>
        <v>0</v>
      </c>
      <c r="CO23" s="26">
        <f>Sheet2!CF8</f>
        <v>1</v>
      </c>
      <c r="CP23" s="26">
        <f>Sheet2!CG8</f>
        <v>0</v>
      </c>
      <c r="CQ23" s="26">
        <f>Sheet2!CH8</f>
        <v>0</v>
      </c>
      <c r="CR23" s="26">
        <f>Sheet2!CI8</f>
        <v>0</v>
      </c>
      <c r="CS23" s="26">
        <f>Sheet2!CJ8</f>
        <v>0</v>
      </c>
      <c r="CT23" s="86">
        <f>Sheet2!CK8</f>
        <v>0</v>
      </c>
      <c r="CU23" s="88">
        <v>0</v>
      </c>
      <c r="CV23" s="92">
        <v>1</v>
      </c>
      <c r="CW23" s="92">
        <v>0</v>
      </c>
      <c r="CX23" s="92">
        <v>0</v>
      </c>
      <c r="CY23" s="92">
        <v>0</v>
      </c>
      <c r="CZ23" s="92">
        <v>0</v>
      </c>
      <c r="DA23" s="86">
        <v>0</v>
      </c>
    </row>
    <row r="24" spans="14:105" ht="24.95" hidden="1" customHeight="1" x14ac:dyDescent="0.25">
      <c r="N24">
        <f>Sheet2!E9</f>
        <v>5</v>
      </c>
      <c r="O24" s="88">
        <f>Sheet2!F9</f>
        <v>0</v>
      </c>
      <c r="P24" s="26">
        <f>Sheet2!G9</f>
        <v>0</v>
      </c>
      <c r="Q24" s="26">
        <f>Sheet2!H9</f>
        <v>0</v>
      </c>
      <c r="R24" s="26">
        <f>Sheet2!I9</f>
        <v>0</v>
      </c>
      <c r="S24" s="26">
        <f>Sheet2!J9</f>
        <v>0</v>
      </c>
      <c r="T24" s="26">
        <f>Sheet2!K9</f>
        <v>0</v>
      </c>
      <c r="U24" s="86">
        <f>Sheet2!L9</f>
        <v>0</v>
      </c>
      <c r="V24" s="88">
        <f>Sheet2!M9</f>
        <v>0</v>
      </c>
      <c r="W24" s="26">
        <f>Sheet2!N9</f>
        <v>0</v>
      </c>
      <c r="X24" s="26">
        <f>Sheet2!O9</f>
        <v>0</v>
      </c>
      <c r="Y24" s="26">
        <f>Sheet2!P9</f>
        <v>0</v>
      </c>
      <c r="Z24" s="26">
        <f>Sheet2!Q9</f>
        <v>0</v>
      </c>
      <c r="AA24" s="26">
        <f>Sheet2!R9</f>
        <v>0</v>
      </c>
      <c r="AB24" s="86">
        <f>Sheet2!S9</f>
        <v>0</v>
      </c>
      <c r="AC24" s="88">
        <f>Sheet2!T9</f>
        <v>0</v>
      </c>
      <c r="AD24" s="26">
        <f>Sheet2!U9</f>
        <v>0</v>
      </c>
      <c r="AE24" s="26">
        <f>Sheet2!V9</f>
        <v>1</v>
      </c>
      <c r="AF24" s="26">
        <f>Sheet2!W9</f>
        <v>1</v>
      </c>
      <c r="AG24" s="26">
        <f>Sheet2!X9</f>
        <v>1</v>
      </c>
      <c r="AH24" s="26">
        <f>Sheet2!Y9</f>
        <v>0</v>
      </c>
      <c r="AI24" s="86">
        <f>Sheet2!Z9</f>
        <v>0</v>
      </c>
      <c r="AJ24" s="88">
        <f>Sheet2!AA9</f>
        <v>0</v>
      </c>
      <c r="AK24" s="26">
        <f>Sheet2!AB9</f>
        <v>0</v>
      </c>
      <c r="AL24" s="26">
        <f>Sheet2!AC9</f>
        <v>1</v>
      </c>
      <c r="AM24" s="26">
        <f>Sheet2!AD9</f>
        <v>1</v>
      </c>
      <c r="AN24" s="26">
        <f>Sheet2!AE9</f>
        <v>1</v>
      </c>
      <c r="AO24" s="26">
        <f>Sheet2!AF9</f>
        <v>0</v>
      </c>
      <c r="AP24" s="86">
        <f>Sheet2!AG9</f>
        <v>0</v>
      </c>
      <c r="AQ24" s="88">
        <f>Sheet2!AH9</f>
        <v>0</v>
      </c>
      <c r="AR24" s="26">
        <f>Sheet2!AI9</f>
        <v>0</v>
      </c>
      <c r="AS24" s="26">
        <f>Sheet2!AJ9</f>
        <v>1</v>
      </c>
      <c r="AT24" s="26">
        <f>Sheet2!AK9</f>
        <v>1</v>
      </c>
      <c r="AU24" s="26">
        <f>Sheet2!AL9</f>
        <v>1</v>
      </c>
      <c r="AV24" s="26">
        <f>Sheet2!AM9</f>
        <v>0</v>
      </c>
      <c r="AW24" s="86">
        <f>Sheet2!AN9</f>
        <v>0</v>
      </c>
      <c r="AX24" s="88">
        <f>Sheet2!AO9</f>
        <v>0</v>
      </c>
      <c r="AY24" s="26">
        <f>Sheet2!AP9</f>
        <v>0</v>
      </c>
      <c r="AZ24" s="26">
        <f>Sheet2!AQ9</f>
        <v>1</v>
      </c>
      <c r="BA24" s="26">
        <f>Sheet2!AR9</f>
        <v>1</v>
      </c>
      <c r="BB24" s="26">
        <f>Sheet2!AS9</f>
        <v>1</v>
      </c>
      <c r="BC24" s="26">
        <f>Sheet2!AT9</f>
        <v>0</v>
      </c>
      <c r="BD24" s="86">
        <f>Sheet2!AU9</f>
        <v>0</v>
      </c>
      <c r="BE24" s="88">
        <f>Sheet2!AV9</f>
        <v>0</v>
      </c>
      <c r="BF24" s="26">
        <f>Sheet2!AW9</f>
        <v>0</v>
      </c>
      <c r="BG24" s="26">
        <f>Sheet2!AX9</f>
        <v>1</v>
      </c>
      <c r="BH24" s="26">
        <f>Sheet2!AY9</f>
        <v>1</v>
      </c>
      <c r="BI24" s="26">
        <f>Sheet2!AZ9</f>
        <v>1</v>
      </c>
      <c r="BJ24" s="26">
        <f>Sheet2!BA9</f>
        <v>0</v>
      </c>
      <c r="BK24" s="86">
        <f>Sheet2!BB9</f>
        <v>0</v>
      </c>
      <c r="BL24" s="88">
        <f>Sheet2!BC9</f>
        <v>0</v>
      </c>
      <c r="BM24" s="26">
        <f>Sheet2!BD9</f>
        <v>0</v>
      </c>
      <c r="BN24" s="26">
        <f>Sheet2!BE9</f>
        <v>0</v>
      </c>
      <c r="BO24" s="26">
        <f>Sheet2!BF9</f>
        <v>0</v>
      </c>
      <c r="BP24" s="26">
        <f>Sheet2!BG9</f>
        <v>0</v>
      </c>
      <c r="BQ24" s="26">
        <f>Sheet2!BH9</f>
        <v>0</v>
      </c>
      <c r="BR24" s="86">
        <f>Sheet2!BI9</f>
        <v>0</v>
      </c>
      <c r="BS24" s="88">
        <f>Sheet2!BJ9</f>
        <v>0</v>
      </c>
      <c r="BT24" s="26">
        <f>Sheet2!BK9</f>
        <v>0</v>
      </c>
      <c r="BU24" s="26">
        <f>Sheet2!BL9</f>
        <v>1</v>
      </c>
      <c r="BV24" s="26">
        <f>Sheet2!BM9</f>
        <v>1</v>
      </c>
      <c r="BW24" s="26">
        <f>Sheet2!BN9</f>
        <v>1</v>
      </c>
      <c r="BX24" s="26">
        <f>Sheet2!BO9</f>
        <v>0</v>
      </c>
      <c r="BY24" s="86">
        <f>Sheet2!BP9</f>
        <v>0</v>
      </c>
      <c r="BZ24" s="88">
        <f>Sheet2!BQ9</f>
        <v>0</v>
      </c>
      <c r="CA24" s="26">
        <f>Sheet2!BR9</f>
        <v>0</v>
      </c>
      <c r="CB24" s="26">
        <f>Sheet2!BS9</f>
        <v>1</v>
      </c>
      <c r="CC24" s="26">
        <f>Sheet2!BT9</f>
        <v>1</v>
      </c>
      <c r="CD24" s="26">
        <f>Sheet2!BU9</f>
        <v>1</v>
      </c>
      <c r="CE24" s="26">
        <f>Sheet2!BV9</f>
        <v>0</v>
      </c>
      <c r="CF24" s="86">
        <f>Sheet2!BW9</f>
        <v>0</v>
      </c>
      <c r="CG24" s="88">
        <f>Sheet2!BX9</f>
        <v>0</v>
      </c>
      <c r="CH24" s="26">
        <f>Sheet2!BY9</f>
        <v>0</v>
      </c>
      <c r="CI24" s="26">
        <f>Sheet2!BZ9</f>
        <v>0</v>
      </c>
      <c r="CJ24" s="26">
        <f>Sheet2!CA9</f>
        <v>0</v>
      </c>
      <c r="CK24" s="26">
        <f>Sheet2!CB9</f>
        <v>0</v>
      </c>
      <c r="CL24" s="26">
        <f>Sheet2!CC9</f>
        <v>0</v>
      </c>
      <c r="CM24" s="86">
        <f>Sheet2!CD9</f>
        <v>0</v>
      </c>
      <c r="CN24" s="88">
        <f>Sheet2!CE9</f>
        <v>0</v>
      </c>
      <c r="CO24" s="26">
        <f>Sheet2!CF9</f>
        <v>0</v>
      </c>
      <c r="CP24" s="26">
        <f>Sheet2!CG9</f>
        <v>1</v>
      </c>
      <c r="CQ24" s="26">
        <f>Sheet2!CH9</f>
        <v>1</v>
      </c>
      <c r="CR24" s="26">
        <f>Sheet2!CI9</f>
        <v>1</v>
      </c>
      <c r="CS24" s="26">
        <f>Sheet2!CJ9</f>
        <v>0</v>
      </c>
      <c r="CT24" s="86">
        <f>Sheet2!CK9</f>
        <v>0</v>
      </c>
      <c r="CU24" s="88">
        <v>0</v>
      </c>
      <c r="CV24" s="92">
        <v>1</v>
      </c>
      <c r="CW24" s="92">
        <v>1</v>
      </c>
      <c r="CX24" s="92">
        <v>1</v>
      </c>
      <c r="CY24" s="92">
        <v>1</v>
      </c>
      <c r="CZ24" s="92">
        <v>1</v>
      </c>
      <c r="DA24" s="86">
        <v>0</v>
      </c>
    </row>
    <row r="25" spans="14:105" ht="24.95" hidden="1" customHeight="1" x14ac:dyDescent="0.25">
      <c r="O25" s="88">
        <f>Sheet2!F10</f>
        <v>0</v>
      </c>
      <c r="P25" s="26">
        <f>Sheet2!G10</f>
        <v>1</v>
      </c>
      <c r="Q25" s="26">
        <f>Sheet2!H10</f>
        <v>0</v>
      </c>
      <c r="R25" s="26">
        <f>Sheet2!I10</f>
        <v>0</v>
      </c>
      <c r="S25" s="26">
        <f>Sheet2!J10</f>
        <v>0</v>
      </c>
      <c r="T25" s="26">
        <f>Sheet2!K10</f>
        <v>1</v>
      </c>
      <c r="U25" s="86">
        <f>Sheet2!L10</f>
        <v>0</v>
      </c>
      <c r="V25" s="88">
        <f>Sheet2!M10</f>
        <v>0</v>
      </c>
      <c r="W25" s="26">
        <f>Sheet2!N10</f>
        <v>0</v>
      </c>
      <c r="X25" s="26">
        <f>Sheet2!O10</f>
        <v>0</v>
      </c>
      <c r="Y25" s="26">
        <f>Sheet2!P10</f>
        <v>0</v>
      </c>
      <c r="Z25" s="26">
        <f>Sheet2!Q10</f>
        <v>0</v>
      </c>
      <c r="AA25" s="26">
        <f>Sheet2!R10</f>
        <v>1</v>
      </c>
      <c r="AB25" s="86">
        <f>Sheet2!S10</f>
        <v>0</v>
      </c>
      <c r="AC25" s="88">
        <f>Sheet2!T10</f>
        <v>0</v>
      </c>
      <c r="AD25" s="26">
        <f>Sheet2!U10</f>
        <v>1</v>
      </c>
      <c r="AE25" s="26">
        <f>Sheet2!V10</f>
        <v>0</v>
      </c>
      <c r="AF25" s="26">
        <f>Sheet2!W10</f>
        <v>0</v>
      </c>
      <c r="AG25" s="26">
        <f>Sheet2!X10</f>
        <v>0</v>
      </c>
      <c r="AH25" s="26">
        <f>Sheet2!Y10</f>
        <v>0</v>
      </c>
      <c r="AI25" s="86">
        <f>Sheet2!Z10</f>
        <v>0</v>
      </c>
      <c r="AJ25" s="88">
        <f>Sheet2!AA10</f>
        <v>0</v>
      </c>
      <c r="AK25" s="26">
        <f>Sheet2!AB10</f>
        <v>0</v>
      </c>
      <c r="AL25" s="26">
        <f>Sheet2!AC10</f>
        <v>0</v>
      </c>
      <c r="AM25" s="26">
        <f>Sheet2!AD10</f>
        <v>0</v>
      </c>
      <c r="AN25" s="26">
        <f>Sheet2!AE10</f>
        <v>0</v>
      </c>
      <c r="AO25" s="26">
        <f>Sheet2!AF10</f>
        <v>1</v>
      </c>
      <c r="AP25" s="86">
        <f>Sheet2!AG10</f>
        <v>0</v>
      </c>
      <c r="AQ25" s="88">
        <f>Sheet2!AH10</f>
        <v>0</v>
      </c>
      <c r="AR25" s="26">
        <f>Sheet2!AI10</f>
        <v>0</v>
      </c>
      <c r="AS25" s="26">
        <f>Sheet2!AJ10</f>
        <v>0</v>
      </c>
      <c r="AT25" s="26">
        <f>Sheet2!AK10</f>
        <v>0</v>
      </c>
      <c r="AU25" s="26">
        <f>Sheet2!AL10</f>
        <v>0</v>
      </c>
      <c r="AV25" s="26">
        <f>Sheet2!AM10</f>
        <v>1</v>
      </c>
      <c r="AW25" s="86">
        <f>Sheet2!AN10</f>
        <v>0</v>
      </c>
      <c r="AX25" s="88">
        <f>Sheet2!AO10</f>
        <v>0</v>
      </c>
      <c r="AY25" s="26">
        <f>Sheet2!AP10</f>
        <v>0</v>
      </c>
      <c r="AZ25" s="26">
        <f>Sheet2!AQ10</f>
        <v>0</v>
      </c>
      <c r="BA25" s="26">
        <f>Sheet2!AR10</f>
        <v>0</v>
      </c>
      <c r="BB25" s="26">
        <f>Sheet2!AS10</f>
        <v>0</v>
      </c>
      <c r="BC25" s="26">
        <f>Sheet2!AT10</f>
        <v>1</v>
      </c>
      <c r="BD25" s="86">
        <f>Sheet2!AU10</f>
        <v>0</v>
      </c>
      <c r="BE25" s="88">
        <f>Sheet2!AV10</f>
        <v>0</v>
      </c>
      <c r="BF25" s="26">
        <f>Sheet2!AW10</f>
        <v>1</v>
      </c>
      <c r="BG25" s="26">
        <f>Sheet2!AX10</f>
        <v>0</v>
      </c>
      <c r="BH25" s="26">
        <f>Sheet2!AY10</f>
        <v>0</v>
      </c>
      <c r="BI25" s="26">
        <f>Sheet2!AZ10</f>
        <v>0</v>
      </c>
      <c r="BJ25" s="26">
        <f>Sheet2!BA10</f>
        <v>1</v>
      </c>
      <c r="BK25" s="86">
        <f>Sheet2!BB10</f>
        <v>0</v>
      </c>
      <c r="BL25" s="88">
        <f>Sheet2!BC10</f>
        <v>0</v>
      </c>
      <c r="BM25" s="26">
        <f>Sheet2!BD10</f>
        <v>0</v>
      </c>
      <c r="BN25" s="26">
        <f>Sheet2!BE10</f>
        <v>0</v>
      </c>
      <c r="BO25" s="26">
        <f>Sheet2!BF10</f>
        <v>0</v>
      </c>
      <c r="BP25" s="26">
        <f>Sheet2!BG10</f>
        <v>0</v>
      </c>
      <c r="BQ25" s="26">
        <f>Sheet2!BH10</f>
        <v>1</v>
      </c>
      <c r="BR25" s="86">
        <f>Sheet2!BI10</f>
        <v>0</v>
      </c>
      <c r="BS25" s="88">
        <f>Sheet2!BJ10</f>
        <v>0</v>
      </c>
      <c r="BT25" s="26">
        <f>Sheet2!BK10</f>
        <v>1</v>
      </c>
      <c r="BU25" s="26">
        <f>Sheet2!BL10</f>
        <v>0</v>
      </c>
      <c r="BV25" s="26">
        <f>Sheet2!BM10</f>
        <v>0</v>
      </c>
      <c r="BW25" s="26">
        <f>Sheet2!BN10</f>
        <v>0</v>
      </c>
      <c r="BX25" s="26">
        <f>Sheet2!BO10</f>
        <v>1</v>
      </c>
      <c r="BY25" s="86">
        <f>Sheet2!BP10</f>
        <v>0</v>
      </c>
      <c r="BZ25" s="88">
        <f>Sheet2!BQ10</f>
        <v>0</v>
      </c>
      <c r="CA25" s="26">
        <f>Sheet2!BR10</f>
        <v>0</v>
      </c>
      <c r="CB25" s="26">
        <f>Sheet2!BS10</f>
        <v>0</v>
      </c>
      <c r="CC25" s="26">
        <f>Sheet2!BT10</f>
        <v>0</v>
      </c>
      <c r="CD25" s="26">
        <f>Sheet2!BU10</f>
        <v>0</v>
      </c>
      <c r="CE25" s="26">
        <f>Sheet2!BV10</f>
        <v>1</v>
      </c>
      <c r="CF25" s="86">
        <f>Sheet2!BW10</f>
        <v>0</v>
      </c>
      <c r="CG25" s="88">
        <f>Sheet2!BX10</f>
        <v>0</v>
      </c>
      <c r="CH25" s="26">
        <f>Sheet2!BY10</f>
        <v>0</v>
      </c>
      <c r="CI25" s="26">
        <f>Sheet2!BZ10</f>
        <v>0</v>
      </c>
      <c r="CJ25" s="26">
        <f>Sheet2!CA10</f>
        <v>0</v>
      </c>
      <c r="CK25" s="26">
        <f>Sheet2!CB10</f>
        <v>0</v>
      </c>
      <c r="CL25" s="26">
        <f>Sheet2!CC10</f>
        <v>0</v>
      </c>
      <c r="CM25" s="86">
        <f>Sheet2!CD10</f>
        <v>0</v>
      </c>
      <c r="CN25" s="88">
        <f>Sheet2!CE10</f>
        <v>0</v>
      </c>
      <c r="CO25" s="26">
        <f>Sheet2!CF10</f>
        <v>1</v>
      </c>
      <c r="CP25" s="26">
        <f>Sheet2!CG10</f>
        <v>0</v>
      </c>
      <c r="CQ25" s="26">
        <f>Sheet2!CH10</f>
        <v>0</v>
      </c>
      <c r="CR25" s="26">
        <f>Sheet2!CI10</f>
        <v>0</v>
      </c>
      <c r="CS25" s="26">
        <f>Sheet2!CJ10</f>
        <v>0</v>
      </c>
      <c r="CT25" s="86">
        <f>Sheet2!CK10</f>
        <v>0</v>
      </c>
      <c r="CU25" s="88">
        <v>0</v>
      </c>
      <c r="CV25" s="92">
        <v>1</v>
      </c>
      <c r="CW25" s="92">
        <v>0</v>
      </c>
      <c r="CX25" s="92">
        <v>0</v>
      </c>
      <c r="CY25" s="92">
        <v>0</v>
      </c>
      <c r="CZ25" s="92">
        <v>0</v>
      </c>
      <c r="DA25" s="86">
        <v>0</v>
      </c>
    </row>
    <row r="26" spans="14:105" ht="24.95" hidden="1" customHeight="1" x14ac:dyDescent="0.25">
      <c r="N26">
        <f>Sheet2!E11</f>
        <v>7</v>
      </c>
      <c r="O26" s="88">
        <f>Sheet2!F11</f>
        <v>0</v>
      </c>
      <c r="P26" s="26">
        <f>Sheet2!G11</f>
        <v>1</v>
      </c>
      <c r="Q26" s="26">
        <f>Sheet2!H11</f>
        <v>0</v>
      </c>
      <c r="R26" s="26">
        <f>Sheet2!I11</f>
        <v>0</v>
      </c>
      <c r="S26" s="26">
        <f>Sheet2!J11</f>
        <v>0</v>
      </c>
      <c r="T26" s="26">
        <f>Sheet2!K11</f>
        <v>1</v>
      </c>
      <c r="U26" s="86">
        <f>Sheet2!L11</f>
        <v>0</v>
      </c>
      <c r="V26" s="88">
        <f>Sheet2!M11</f>
        <v>0</v>
      </c>
      <c r="W26" s="26">
        <f>Sheet2!N11</f>
        <v>0</v>
      </c>
      <c r="X26" s="26">
        <f>Sheet2!O11</f>
        <v>0</v>
      </c>
      <c r="Y26" s="26">
        <f>Sheet2!P11</f>
        <v>0</v>
      </c>
      <c r="Z26" s="26">
        <f>Sheet2!Q11</f>
        <v>0</v>
      </c>
      <c r="AA26" s="26">
        <f>Sheet2!R11</f>
        <v>1</v>
      </c>
      <c r="AB26" s="86">
        <f>Sheet2!S11</f>
        <v>0</v>
      </c>
      <c r="AC26" s="88">
        <f>Sheet2!T11</f>
        <v>0</v>
      </c>
      <c r="AD26" s="26">
        <f>Sheet2!U11</f>
        <v>1</v>
      </c>
      <c r="AE26" s="26">
        <f>Sheet2!V11</f>
        <v>0</v>
      </c>
      <c r="AF26" s="26">
        <f>Sheet2!W11</f>
        <v>0</v>
      </c>
      <c r="AG26" s="26">
        <f>Sheet2!X11</f>
        <v>0</v>
      </c>
      <c r="AH26" s="26">
        <f>Sheet2!Y11</f>
        <v>0</v>
      </c>
      <c r="AI26" s="86">
        <f>Sheet2!Z11</f>
        <v>0</v>
      </c>
      <c r="AJ26" s="88">
        <f>Sheet2!AA11</f>
        <v>0</v>
      </c>
      <c r="AK26" s="26">
        <f>Sheet2!AB11</f>
        <v>0</v>
      </c>
      <c r="AL26" s="26">
        <f>Sheet2!AC11</f>
        <v>0</v>
      </c>
      <c r="AM26" s="26">
        <f>Sheet2!AD11</f>
        <v>0</v>
      </c>
      <c r="AN26" s="26">
        <f>Sheet2!AE11</f>
        <v>0</v>
      </c>
      <c r="AO26" s="26">
        <f>Sheet2!AF11</f>
        <v>1</v>
      </c>
      <c r="AP26" s="86">
        <f>Sheet2!AG11</f>
        <v>0</v>
      </c>
      <c r="AQ26" s="88">
        <f>Sheet2!AH11</f>
        <v>0</v>
      </c>
      <c r="AR26" s="26">
        <f>Sheet2!AI11</f>
        <v>0</v>
      </c>
      <c r="AS26" s="26">
        <f>Sheet2!AJ11</f>
        <v>0</v>
      </c>
      <c r="AT26" s="26">
        <f>Sheet2!AK11</f>
        <v>0</v>
      </c>
      <c r="AU26" s="26">
        <f>Sheet2!AL11</f>
        <v>0</v>
      </c>
      <c r="AV26" s="26">
        <f>Sheet2!AM11</f>
        <v>1</v>
      </c>
      <c r="AW26" s="86">
        <f>Sheet2!AN11</f>
        <v>0</v>
      </c>
      <c r="AX26" s="88">
        <f>Sheet2!AO11</f>
        <v>0</v>
      </c>
      <c r="AY26" s="26">
        <f>Sheet2!AP11</f>
        <v>0</v>
      </c>
      <c r="AZ26" s="26">
        <f>Sheet2!AQ11</f>
        <v>0</v>
      </c>
      <c r="BA26" s="26">
        <f>Sheet2!AR11</f>
        <v>0</v>
      </c>
      <c r="BB26" s="26">
        <f>Sheet2!AS11</f>
        <v>0</v>
      </c>
      <c r="BC26" s="26">
        <f>Sheet2!AT11</f>
        <v>1</v>
      </c>
      <c r="BD26" s="86">
        <f>Sheet2!AU11</f>
        <v>0</v>
      </c>
      <c r="BE26" s="88">
        <f>Sheet2!AV11</f>
        <v>0</v>
      </c>
      <c r="BF26" s="26">
        <f>Sheet2!AW11</f>
        <v>1</v>
      </c>
      <c r="BG26" s="26">
        <f>Sheet2!AX11</f>
        <v>0</v>
      </c>
      <c r="BH26" s="26">
        <f>Sheet2!AY11</f>
        <v>0</v>
      </c>
      <c r="BI26" s="26">
        <f>Sheet2!AZ11</f>
        <v>0</v>
      </c>
      <c r="BJ26" s="26">
        <f>Sheet2!BA11</f>
        <v>1</v>
      </c>
      <c r="BK26" s="86">
        <f>Sheet2!BB11</f>
        <v>0</v>
      </c>
      <c r="BL26" s="88">
        <f>Sheet2!BC11</f>
        <v>0</v>
      </c>
      <c r="BM26" s="26">
        <f>Sheet2!BD11</f>
        <v>0</v>
      </c>
      <c r="BN26" s="26">
        <f>Sheet2!BE11</f>
        <v>0</v>
      </c>
      <c r="BO26" s="26">
        <f>Sheet2!BF11</f>
        <v>0</v>
      </c>
      <c r="BP26" s="26">
        <f>Sheet2!BG11</f>
        <v>0</v>
      </c>
      <c r="BQ26" s="26">
        <f>Sheet2!BH11</f>
        <v>1</v>
      </c>
      <c r="BR26" s="86">
        <f>Sheet2!BI11</f>
        <v>0</v>
      </c>
      <c r="BS26" s="88">
        <f>Sheet2!BJ11</f>
        <v>0</v>
      </c>
      <c r="BT26" s="26">
        <f>Sheet2!BK11</f>
        <v>1</v>
      </c>
      <c r="BU26" s="26">
        <f>Sheet2!BL11</f>
        <v>0</v>
      </c>
      <c r="BV26" s="26">
        <f>Sheet2!BM11</f>
        <v>0</v>
      </c>
      <c r="BW26" s="26">
        <f>Sheet2!BN11</f>
        <v>0</v>
      </c>
      <c r="BX26" s="26">
        <f>Sheet2!BO11</f>
        <v>1</v>
      </c>
      <c r="BY26" s="86">
        <f>Sheet2!BP11</f>
        <v>0</v>
      </c>
      <c r="BZ26" s="88">
        <f>Sheet2!BQ11</f>
        <v>0</v>
      </c>
      <c r="CA26" s="26">
        <f>Sheet2!BR11</f>
        <v>0</v>
      </c>
      <c r="CB26" s="26">
        <f>Sheet2!BS11</f>
        <v>0</v>
      </c>
      <c r="CC26" s="26">
        <f>Sheet2!BT11</f>
        <v>0</v>
      </c>
      <c r="CD26" s="26">
        <f>Sheet2!BU11</f>
        <v>0</v>
      </c>
      <c r="CE26" s="26">
        <f>Sheet2!BV11</f>
        <v>1</v>
      </c>
      <c r="CF26" s="86">
        <f>Sheet2!BW11</f>
        <v>0</v>
      </c>
      <c r="CG26" s="88">
        <f>Sheet2!BX11</f>
        <v>0</v>
      </c>
      <c r="CH26" s="26">
        <f>Sheet2!BY11</f>
        <v>0</v>
      </c>
      <c r="CI26" s="26">
        <f>Sheet2!BZ11</f>
        <v>0</v>
      </c>
      <c r="CJ26" s="26">
        <f>Sheet2!CA11</f>
        <v>0</v>
      </c>
      <c r="CK26" s="26">
        <f>Sheet2!CB11</f>
        <v>0</v>
      </c>
      <c r="CL26" s="26">
        <f>Sheet2!CC11</f>
        <v>0</v>
      </c>
      <c r="CM26" s="86">
        <f>Sheet2!CD11</f>
        <v>0</v>
      </c>
      <c r="CN26" s="88">
        <f>Sheet2!CE11</f>
        <v>0</v>
      </c>
      <c r="CO26" s="26">
        <f>Sheet2!CF11</f>
        <v>1</v>
      </c>
      <c r="CP26" s="26">
        <f>Sheet2!CG11</f>
        <v>0</v>
      </c>
      <c r="CQ26" s="26">
        <f>Sheet2!CH11</f>
        <v>0</v>
      </c>
      <c r="CR26" s="26">
        <f>Sheet2!CI11</f>
        <v>0</v>
      </c>
      <c r="CS26" s="26">
        <f>Sheet2!CJ11</f>
        <v>0</v>
      </c>
      <c r="CT26" s="86">
        <f>Sheet2!CK11</f>
        <v>0</v>
      </c>
      <c r="CU26" s="88">
        <v>0</v>
      </c>
      <c r="CV26" s="92">
        <v>1</v>
      </c>
      <c r="CW26" s="92">
        <v>0</v>
      </c>
      <c r="CX26" s="26">
        <v>0</v>
      </c>
      <c r="CY26" s="26">
        <v>0</v>
      </c>
      <c r="CZ26" s="92">
        <v>0</v>
      </c>
      <c r="DA26" s="86">
        <v>0</v>
      </c>
    </row>
    <row r="27" spans="14:105" ht="24.95" hidden="1" customHeight="1" x14ac:dyDescent="0.25">
      <c r="N27">
        <f>Sheet2!E12</f>
        <v>8</v>
      </c>
      <c r="O27" s="88">
        <f>Sheet2!F12</f>
        <v>0</v>
      </c>
      <c r="P27" s="26">
        <f>Sheet2!G12</f>
        <v>1</v>
      </c>
      <c r="Q27" s="26">
        <f>Sheet2!H12</f>
        <v>0</v>
      </c>
      <c r="R27" s="26">
        <f>Sheet2!I12</f>
        <v>0</v>
      </c>
      <c r="S27" s="26">
        <f>Sheet2!J12</f>
        <v>0</v>
      </c>
      <c r="T27" s="26">
        <f>Sheet2!K12</f>
        <v>1</v>
      </c>
      <c r="U27" s="86">
        <f>Sheet2!L12</f>
        <v>0</v>
      </c>
      <c r="V27" s="88">
        <f>Sheet2!M12</f>
        <v>0</v>
      </c>
      <c r="W27" s="26">
        <f>Sheet2!N12</f>
        <v>0</v>
      </c>
      <c r="X27" s="26">
        <f>Sheet2!O12</f>
        <v>0</v>
      </c>
      <c r="Y27" s="26">
        <f>Sheet2!P12</f>
        <v>0</v>
      </c>
      <c r="Z27" s="26">
        <f>Sheet2!Q12</f>
        <v>0</v>
      </c>
      <c r="AA27" s="26">
        <f>Sheet2!R12</f>
        <v>1</v>
      </c>
      <c r="AB27" s="86">
        <f>Sheet2!S12</f>
        <v>0</v>
      </c>
      <c r="AC27" s="88">
        <f>Sheet2!T12</f>
        <v>0</v>
      </c>
      <c r="AD27" s="26">
        <f>Sheet2!U12</f>
        <v>1</v>
      </c>
      <c r="AE27" s="26">
        <f>Sheet2!V12</f>
        <v>0</v>
      </c>
      <c r="AF27" s="26">
        <f>Sheet2!W12</f>
        <v>0</v>
      </c>
      <c r="AG27" s="26">
        <f>Sheet2!X12</f>
        <v>0</v>
      </c>
      <c r="AH27" s="26">
        <f>Sheet2!Y12</f>
        <v>0</v>
      </c>
      <c r="AI27" s="86">
        <f>Sheet2!Z12</f>
        <v>0</v>
      </c>
      <c r="AJ27" s="88">
        <f>Sheet2!AA12</f>
        <v>0</v>
      </c>
      <c r="AK27" s="26">
        <f>Sheet2!AB12</f>
        <v>0</v>
      </c>
      <c r="AL27" s="26">
        <f>Sheet2!AC12</f>
        <v>0</v>
      </c>
      <c r="AM27" s="26">
        <f>Sheet2!AD12</f>
        <v>0</v>
      </c>
      <c r="AN27" s="26">
        <f>Sheet2!AE12</f>
        <v>0</v>
      </c>
      <c r="AO27" s="26">
        <f>Sheet2!AF12</f>
        <v>1</v>
      </c>
      <c r="AP27" s="86">
        <f>Sheet2!AG12</f>
        <v>0</v>
      </c>
      <c r="AQ27" s="88">
        <f>Sheet2!AH12</f>
        <v>0</v>
      </c>
      <c r="AR27" s="26">
        <f>Sheet2!AI12</f>
        <v>0</v>
      </c>
      <c r="AS27" s="26">
        <f>Sheet2!AJ12</f>
        <v>0</v>
      </c>
      <c r="AT27" s="26">
        <f>Sheet2!AK12</f>
        <v>0</v>
      </c>
      <c r="AU27" s="26">
        <f>Sheet2!AL12</f>
        <v>0</v>
      </c>
      <c r="AV27" s="26">
        <f>Sheet2!AM12</f>
        <v>1</v>
      </c>
      <c r="AW27" s="86">
        <f>Sheet2!AN12</f>
        <v>0</v>
      </c>
      <c r="AX27" s="88">
        <f>Sheet2!AO12</f>
        <v>0</v>
      </c>
      <c r="AY27" s="26">
        <f>Sheet2!AP12</f>
        <v>0</v>
      </c>
      <c r="AZ27" s="26">
        <f>Sheet2!AQ12</f>
        <v>0</v>
      </c>
      <c r="BA27" s="26">
        <f>Sheet2!AR12</f>
        <v>0</v>
      </c>
      <c r="BB27" s="26">
        <f>Sheet2!AS12</f>
        <v>0</v>
      </c>
      <c r="BC27" s="26">
        <f>Sheet2!AT12</f>
        <v>1</v>
      </c>
      <c r="BD27" s="86">
        <f>Sheet2!AU12</f>
        <v>0</v>
      </c>
      <c r="BE27" s="88">
        <f>Sheet2!AV12</f>
        <v>0</v>
      </c>
      <c r="BF27" s="26">
        <f>Sheet2!AW12</f>
        <v>1</v>
      </c>
      <c r="BG27" s="26">
        <f>Sheet2!AX12</f>
        <v>0</v>
      </c>
      <c r="BH27" s="26">
        <f>Sheet2!AY12</f>
        <v>0</v>
      </c>
      <c r="BI27" s="26">
        <f>Sheet2!AZ12</f>
        <v>0</v>
      </c>
      <c r="BJ27" s="26">
        <f>Sheet2!BA12</f>
        <v>1</v>
      </c>
      <c r="BK27" s="86">
        <f>Sheet2!BB12</f>
        <v>0</v>
      </c>
      <c r="BL27" s="88">
        <f>Sheet2!BC12</f>
        <v>0</v>
      </c>
      <c r="BM27" s="26">
        <f>Sheet2!BD12</f>
        <v>0</v>
      </c>
      <c r="BN27" s="26">
        <f>Sheet2!BE12</f>
        <v>0</v>
      </c>
      <c r="BO27" s="26">
        <f>Sheet2!BF12</f>
        <v>0</v>
      </c>
      <c r="BP27" s="26">
        <f>Sheet2!BG12</f>
        <v>0</v>
      </c>
      <c r="BQ27" s="26">
        <f>Sheet2!BH12</f>
        <v>1</v>
      </c>
      <c r="BR27" s="86">
        <f>Sheet2!BI12</f>
        <v>0</v>
      </c>
      <c r="BS27" s="88">
        <f>Sheet2!BJ12</f>
        <v>0</v>
      </c>
      <c r="BT27" s="26">
        <f>Sheet2!BK12</f>
        <v>1</v>
      </c>
      <c r="BU27" s="26">
        <f>Sheet2!BL12</f>
        <v>0</v>
      </c>
      <c r="BV27" s="26">
        <f>Sheet2!BM12</f>
        <v>0</v>
      </c>
      <c r="BW27" s="26">
        <f>Sheet2!BN12</f>
        <v>0</v>
      </c>
      <c r="BX27" s="26">
        <f>Sheet2!BO12</f>
        <v>1</v>
      </c>
      <c r="BY27" s="86">
        <f>Sheet2!BP12</f>
        <v>0</v>
      </c>
      <c r="BZ27" s="88">
        <f>Sheet2!BQ12</f>
        <v>0</v>
      </c>
      <c r="CA27" s="26">
        <f>Sheet2!BR12</f>
        <v>0</v>
      </c>
      <c r="CB27" s="26">
        <f>Sheet2!BS12</f>
        <v>0</v>
      </c>
      <c r="CC27" s="26">
        <f>Sheet2!BT12</f>
        <v>0</v>
      </c>
      <c r="CD27" s="26">
        <f>Sheet2!BU12</f>
        <v>0</v>
      </c>
      <c r="CE27" s="26">
        <f>Sheet2!BV12</f>
        <v>1</v>
      </c>
      <c r="CF27" s="86">
        <f>Sheet2!BW12</f>
        <v>0</v>
      </c>
      <c r="CG27" s="88">
        <f>Sheet2!BX12</f>
        <v>0</v>
      </c>
      <c r="CH27" s="26">
        <f>Sheet2!BY12</f>
        <v>0</v>
      </c>
      <c r="CI27" s="26">
        <f>Sheet2!BZ12</f>
        <v>0</v>
      </c>
      <c r="CJ27" s="26">
        <f>Sheet2!CA12</f>
        <v>0</v>
      </c>
      <c r="CK27" s="26">
        <f>Sheet2!CB12</f>
        <v>0</v>
      </c>
      <c r="CL27" s="26">
        <f>Sheet2!CC12</f>
        <v>0</v>
      </c>
      <c r="CM27" s="86">
        <f>Sheet2!CD12</f>
        <v>0</v>
      </c>
      <c r="CN27" s="88">
        <f>Sheet2!CE12</f>
        <v>0</v>
      </c>
      <c r="CO27" s="26">
        <f>Sheet2!CF12</f>
        <v>1</v>
      </c>
      <c r="CP27" s="26">
        <f>Sheet2!CG12</f>
        <v>0</v>
      </c>
      <c r="CQ27" s="26">
        <f>Sheet2!CH12</f>
        <v>0</v>
      </c>
      <c r="CR27" s="26">
        <f>Sheet2!CI12</f>
        <v>0</v>
      </c>
      <c r="CS27" s="26">
        <f>Sheet2!CJ12</f>
        <v>0</v>
      </c>
      <c r="CT27" s="86">
        <f>Sheet2!CK12</f>
        <v>0</v>
      </c>
      <c r="CU27" s="88">
        <v>0</v>
      </c>
      <c r="CV27" s="92">
        <v>1</v>
      </c>
      <c r="CW27" s="92">
        <v>0</v>
      </c>
      <c r="CX27" s="26">
        <v>0</v>
      </c>
      <c r="CY27" s="26">
        <v>0</v>
      </c>
      <c r="CZ27" s="26">
        <v>0</v>
      </c>
      <c r="DA27" s="86">
        <v>0</v>
      </c>
    </row>
    <row r="28" spans="14:105" ht="24.95" hidden="1" customHeight="1" x14ac:dyDescent="0.25">
      <c r="N28">
        <f>Sheet2!E13</f>
        <v>9</v>
      </c>
      <c r="O28" s="89">
        <f>Sheet2!F13</f>
        <v>0</v>
      </c>
      <c r="P28" s="90">
        <f>Sheet2!G13</f>
        <v>0</v>
      </c>
      <c r="Q28" s="90">
        <f>Sheet2!H13</f>
        <v>1</v>
      </c>
      <c r="R28" s="90">
        <f>Sheet2!I13</f>
        <v>1</v>
      </c>
      <c r="S28" s="90">
        <f>Sheet2!J13</f>
        <v>1</v>
      </c>
      <c r="T28" s="90">
        <f>Sheet2!K13</f>
        <v>0</v>
      </c>
      <c r="U28" s="91">
        <f>Sheet2!L13</f>
        <v>0</v>
      </c>
      <c r="V28" s="89">
        <f>Sheet2!M13</f>
        <v>0</v>
      </c>
      <c r="W28" s="90">
        <f>Sheet2!N13</f>
        <v>0</v>
      </c>
      <c r="X28" s="90">
        <f>Sheet2!O13</f>
        <v>0</v>
      </c>
      <c r="Y28" s="90">
        <f>Sheet2!P13</f>
        <v>0</v>
      </c>
      <c r="Z28" s="90">
        <f>Sheet2!Q13</f>
        <v>0</v>
      </c>
      <c r="AA28" s="90">
        <f>Sheet2!R13</f>
        <v>0</v>
      </c>
      <c r="AB28" s="91">
        <f>Sheet2!S13</f>
        <v>0</v>
      </c>
      <c r="AC28" s="89">
        <f>Sheet2!T13</f>
        <v>0</v>
      </c>
      <c r="AD28" s="90">
        <f>Sheet2!U13</f>
        <v>0</v>
      </c>
      <c r="AE28" s="90">
        <f>Sheet2!V13</f>
        <v>1</v>
      </c>
      <c r="AF28" s="90">
        <f>Sheet2!W13</f>
        <v>1</v>
      </c>
      <c r="AG28" s="90">
        <f>Sheet2!X13</f>
        <v>1</v>
      </c>
      <c r="AH28" s="90">
        <f>Sheet2!Y13</f>
        <v>0</v>
      </c>
      <c r="AI28" s="91">
        <f>Sheet2!Z13</f>
        <v>0</v>
      </c>
      <c r="AJ28" s="89">
        <f>Sheet2!AA13</f>
        <v>0</v>
      </c>
      <c r="AK28" s="90">
        <f>Sheet2!AB13</f>
        <v>0</v>
      </c>
      <c r="AL28" s="90">
        <f>Sheet2!AC13</f>
        <v>1</v>
      </c>
      <c r="AM28" s="90">
        <f>Sheet2!AD13</f>
        <v>1</v>
      </c>
      <c r="AN28" s="90">
        <f>Sheet2!AE13</f>
        <v>1</v>
      </c>
      <c r="AO28" s="90">
        <f>Sheet2!AF13</f>
        <v>0</v>
      </c>
      <c r="AP28" s="91">
        <f>Sheet2!AG13</f>
        <v>0</v>
      </c>
      <c r="AQ28" s="89">
        <f>Sheet2!AH13</f>
        <v>0</v>
      </c>
      <c r="AR28" s="90">
        <f>Sheet2!AI13</f>
        <v>0</v>
      </c>
      <c r="AS28" s="90">
        <f>Sheet2!AJ13</f>
        <v>0</v>
      </c>
      <c r="AT28" s="90">
        <f>Sheet2!AK13</f>
        <v>0</v>
      </c>
      <c r="AU28" s="90">
        <f>Sheet2!AL13</f>
        <v>0</v>
      </c>
      <c r="AV28" s="90">
        <f>Sheet2!AM13</f>
        <v>0</v>
      </c>
      <c r="AW28" s="91">
        <f>Sheet2!AN13</f>
        <v>0</v>
      </c>
      <c r="AX28" s="89">
        <f>Sheet2!AO13</f>
        <v>0</v>
      </c>
      <c r="AY28" s="90">
        <f>Sheet2!AP13</f>
        <v>0</v>
      </c>
      <c r="AZ28" s="90">
        <f>Sheet2!AQ13</f>
        <v>1</v>
      </c>
      <c r="BA28" s="90">
        <f>Sheet2!AR13</f>
        <v>1</v>
      </c>
      <c r="BB28" s="90">
        <f>Sheet2!AS13</f>
        <v>1</v>
      </c>
      <c r="BC28" s="90">
        <f>Sheet2!AT13</f>
        <v>0</v>
      </c>
      <c r="BD28" s="91">
        <f>Sheet2!AU13</f>
        <v>0</v>
      </c>
      <c r="BE28" s="89">
        <f>Sheet2!AV13</f>
        <v>0</v>
      </c>
      <c r="BF28" s="90">
        <f>Sheet2!AW13</f>
        <v>0</v>
      </c>
      <c r="BG28" s="90">
        <f>Sheet2!AX13</f>
        <v>1</v>
      </c>
      <c r="BH28" s="90">
        <f>Sheet2!AY13</f>
        <v>1</v>
      </c>
      <c r="BI28" s="90">
        <f>Sheet2!AZ13</f>
        <v>1</v>
      </c>
      <c r="BJ28" s="90">
        <f>Sheet2!BA13</f>
        <v>0</v>
      </c>
      <c r="BK28" s="91">
        <f>Sheet2!BB13</f>
        <v>0</v>
      </c>
      <c r="BL28" s="89">
        <f>Sheet2!BC13</f>
        <v>0</v>
      </c>
      <c r="BM28" s="90">
        <f>Sheet2!BD13</f>
        <v>0</v>
      </c>
      <c r="BN28" s="90">
        <f>Sheet2!BE13</f>
        <v>0</v>
      </c>
      <c r="BO28" s="90">
        <f>Sheet2!BF13</f>
        <v>0</v>
      </c>
      <c r="BP28" s="90">
        <f>Sheet2!BG13</f>
        <v>0</v>
      </c>
      <c r="BQ28" s="90">
        <f>Sheet2!BH13</f>
        <v>0</v>
      </c>
      <c r="BR28" s="91">
        <f>Sheet2!BI13</f>
        <v>0</v>
      </c>
      <c r="BS28" s="89">
        <f>Sheet2!BJ13</f>
        <v>0</v>
      </c>
      <c r="BT28" s="90">
        <f>Sheet2!BK13</f>
        <v>0</v>
      </c>
      <c r="BU28" s="90">
        <f>Sheet2!BL13</f>
        <v>1</v>
      </c>
      <c r="BV28" s="90">
        <f>Sheet2!BM13</f>
        <v>1</v>
      </c>
      <c r="BW28" s="90">
        <f>Sheet2!BN13</f>
        <v>1</v>
      </c>
      <c r="BX28" s="90">
        <f>Sheet2!BO13</f>
        <v>0</v>
      </c>
      <c r="BY28" s="91">
        <f>Sheet2!BP13</f>
        <v>0</v>
      </c>
      <c r="BZ28" s="89">
        <f>Sheet2!BQ13</f>
        <v>0</v>
      </c>
      <c r="CA28" s="90">
        <f>Sheet2!BR13</f>
        <v>0</v>
      </c>
      <c r="CB28" s="90">
        <f>Sheet2!BS13</f>
        <v>1</v>
      </c>
      <c r="CC28" s="90">
        <f>Sheet2!BT13</f>
        <v>1</v>
      </c>
      <c r="CD28" s="90">
        <f>Sheet2!BU13</f>
        <v>1</v>
      </c>
      <c r="CE28" s="90">
        <f>Sheet2!BV13</f>
        <v>0</v>
      </c>
      <c r="CF28" s="91">
        <f>Sheet2!BW13</f>
        <v>0</v>
      </c>
      <c r="CG28" s="89">
        <f>Sheet2!BX13</f>
        <v>0</v>
      </c>
      <c r="CH28" s="90">
        <f>Sheet2!BY13</f>
        <v>0</v>
      </c>
      <c r="CI28" s="90">
        <f>Sheet2!BZ13</f>
        <v>0</v>
      </c>
      <c r="CJ28" s="90">
        <f>Sheet2!CA13</f>
        <v>0</v>
      </c>
      <c r="CK28" s="90">
        <f>Sheet2!CB13</f>
        <v>0</v>
      </c>
      <c r="CL28" s="90">
        <f>Sheet2!CC13</f>
        <v>1</v>
      </c>
      <c r="CM28" s="91">
        <f>Sheet2!CD13</f>
        <v>0</v>
      </c>
      <c r="CN28" s="89">
        <f>Sheet2!CE13</f>
        <v>0</v>
      </c>
      <c r="CO28" s="90">
        <f>Sheet2!CF13</f>
        <v>0</v>
      </c>
      <c r="CP28" s="90">
        <f>Sheet2!CG13</f>
        <v>1</v>
      </c>
      <c r="CQ28" s="90">
        <f>Sheet2!CH13</f>
        <v>1</v>
      </c>
      <c r="CR28" s="90">
        <f>Sheet2!CI13</f>
        <v>1</v>
      </c>
      <c r="CS28" s="90">
        <f>Sheet2!CJ13</f>
        <v>0</v>
      </c>
      <c r="CT28" s="91">
        <f>Sheet2!CK13</f>
        <v>0</v>
      </c>
      <c r="CU28" s="89">
        <v>0</v>
      </c>
      <c r="CV28" s="90">
        <v>1</v>
      </c>
      <c r="CW28" s="90">
        <v>1</v>
      </c>
      <c r="CX28" s="90">
        <v>1</v>
      </c>
      <c r="CY28" s="90">
        <v>1</v>
      </c>
      <c r="CZ28" s="90">
        <v>1</v>
      </c>
      <c r="DA28" s="91">
        <v>0</v>
      </c>
    </row>
    <row r="29" spans="14:105" hidden="1" x14ac:dyDescent="0.25"/>
    <row r="31" spans="14:105" s="82" customFormat="1" ht="24.95" customHeight="1" x14ac:dyDescent="0.25">
      <c r="O31" s="82">
        <f>O19</f>
        <v>1</v>
      </c>
      <c r="P31" s="82">
        <f t="shared" ref="P31:CA31" si="0">P19</f>
        <v>2</v>
      </c>
      <c r="Q31" s="82">
        <f t="shared" si="0"/>
        <v>3</v>
      </c>
      <c r="R31" s="82">
        <f t="shared" si="0"/>
        <v>4</v>
      </c>
      <c r="S31" s="82">
        <f t="shared" si="0"/>
        <v>5</v>
      </c>
      <c r="T31" s="82">
        <f t="shared" si="0"/>
        <v>6</v>
      </c>
      <c r="U31" s="82">
        <f t="shared" si="0"/>
        <v>7</v>
      </c>
      <c r="V31" s="82">
        <f t="shared" si="0"/>
        <v>1</v>
      </c>
      <c r="W31" s="82">
        <f t="shared" si="0"/>
        <v>2</v>
      </c>
      <c r="X31" s="82">
        <f t="shared" si="0"/>
        <v>3</v>
      </c>
      <c r="Y31" s="82">
        <f t="shared" si="0"/>
        <v>4</v>
      </c>
      <c r="Z31" s="82">
        <f t="shared" si="0"/>
        <v>5</v>
      </c>
      <c r="AA31" s="82">
        <f t="shared" si="0"/>
        <v>6</v>
      </c>
      <c r="AB31" s="82">
        <f t="shared" si="0"/>
        <v>7</v>
      </c>
      <c r="AC31" s="82">
        <f t="shared" si="0"/>
        <v>1</v>
      </c>
      <c r="AD31" s="82">
        <f t="shared" si="0"/>
        <v>2</v>
      </c>
      <c r="AE31" s="82">
        <f t="shared" si="0"/>
        <v>3</v>
      </c>
      <c r="AF31" s="82">
        <f t="shared" si="0"/>
        <v>4</v>
      </c>
      <c r="AG31" s="82">
        <f t="shared" si="0"/>
        <v>5</v>
      </c>
      <c r="AH31" s="82">
        <f t="shared" si="0"/>
        <v>6</v>
      </c>
      <c r="AI31" s="82">
        <f t="shared" si="0"/>
        <v>7</v>
      </c>
      <c r="AJ31" s="82">
        <f t="shared" si="0"/>
        <v>1</v>
      </c>
      <c r="AK31" s="82">
        <f t="shared" si="0"/>
        <v>2</v>
      </c>
      <c r="AL31" s="82">
        <f t="shared" si="0"/>
        <v>3</v>
      </c>
      <c r="AM31" s="82">
        <f t="shared" si="0"/>
        <v>4</v>
      </c>
      <c r="AN31" s="82">
        <f t="shared" si="0"/>
        <v>5</v>
      </c>
      <c r="AO31" s="82">
        <f t="shared" si="0"/>
        <v>6</v>
      </c>
      <c r="AP31" s="82">
        <f t="shared" si="0"/>
        <v>7</v>
      </c>
      <c r="AQ31" s="82">
        <f t="shared" si="0"/>
        <v>1</v>
      </c>
      <c r="AR31" s="82">
        <f t="shared" si="0"/>
        <v>2</v>
      </c>
      <c r="AS31" s="82">
        <f t="shared" si="0"/>
        <v>3</v>
      </c>
      <c r="AT31" s="82">
        <f t="shared" si="0"/>
        <v>4</v>
      </c>
      <c r="AU31" s="82">
        <f t="shared" si="0"/>
        <v>5</v>
      </c>
      <c r="AV31" s="82">
        <f t="shared" si="0"/>
        <v>6</v>
      </c>
      <c r="AW31" s="82">
        <f t="shared" si="0"/>
        <v>7</v>
      </c>
      <c r="AX31" s="82">
        <f t="shared" si="0"/>
        <v>1</v>
      </c>
      <c r="AY31" s="82">
        <f t="shared" si="0"/>
        <v>2</v>
      </c>
      <c r="AZ31" s="82">
        <f t="shared" si="0"/>
        <v>3</v>
      </c>
      <c r="BA31" s="82">
        <f t="shared" si="0"/>
        <v>4</v>
      </c>
      <c r="BB31" s="82">
        <f t="shared" si="0"/>
        <v>5</v>
      </c>
      <c r="BC31" s="82">
        <f t="shared" si="0"/>
        <v>6</v>
      </c>
      <c r="BD31" s="82">
        <f t="shared" si="0"/>
        <v>7</v>
      </c>
      <c r="BE31" s="82">
        <f t="shared" si="0"/>
        <v>1</v>
      </c>
      <c r="BF31" s="82">
        <f t="shared" si="0"/>
        <v>2</v>
      </c>
      <c r="BG31" s="82">
        <f t="shared" si="0"/>
        <v>3</v>
      </c>
      <c r="BH31" s="82">
        <f t="shared" si="0"/>
        <v>4</v>
      </c>
      <c r="BI31" s="82">
        <f t="shared" si="0"/>
        <v>5</v>
      </c>
      <c r="BJ31" s="82">
        <f t="shared" si="0"/>
        <v>6</v>
      </c>
      <c r="BK31" s="82">
        <f t="shared" si="0"/>
        <v>7</v>
      </c>
      <c r="BL31" s="82">
        <f t="shared" si="0"/>
        <v>1</v>
      </c>
      <c r="BM31" s="82">
        <f t="shared" si="0"/>
        <v>2</v>
      </c>
      <c r="BN31" s="82">
        <f t="shared" si="0"/>
        <v>3</v>
      </c>
      <c r="BO31" s="82">
        <f t="shared" si="0"/>
        <v>4</v>
      </c>
      <c r="BP31" s="82">
        <f t="shared" si="0"/>
        <v>5</v>
      </c>
      <c r="BQ31" s="82">
        <f t="shared" si="0"/>
        <v>6</v>
      </c>
      <c r="BR31" s="82">
        <f t="shared" si="0"/>
        <v>7</v>
      </c>
      <c r="BS31" s="82">
        <f t="shared" si="0"/>
        <v>1</v>
      </c>
      <c r="BT31" s="82">
        <f t="shared" si="0"/>
        <v>2</v>
      </c>
      <c r="BU31" s="82">
        <f t="shared" si="0"/>
        <v>3</v>
      </c>
      <c r="BV31" s="82">
        <f t="shared" si="0"/>
        <v>4</v>
      </c>
      <c r="BW31" s="82">
        <f t="shared" si="0"/>
        <v>5</v>
      </c>
      <c r="BX31" s="82">
        <f t="shared" si="0"/>
        <v>6</v>
      </c>
      <c r="BY31" s="82">
        <f t="shared" si="0"/>
        <v>7</v>
      </c>
      <c r="BZ31" s="82">
        <f t="shared" si="0"/>
        <v>1</v>
      </c>
      <c r="CA31" s="82">
        <f t="shared" si="0"/>
        <v>2</v>
      </c>
      <c r="CB31" s="82">
        <f t="shared" ref="CB31:CF31" si="1">CB19</f>
        <v>3</v>
      </c>
      <c r="CC31" s="82">
        <f t="shared" si="1"/>
        <v>4</v>
      </c>
      <c r="CD31" s="82">
        <f t="shared" si="1"/>
        <v>5</v>
      </c>
      <c r="CE31" s="82">
        <f t="shared" si="1"/>
        <v>6</v>
      </c>
      <c r="CF31" s="82">
        <f t="shared" si="1"/>
        <v>7</v>
      </c>
    </row>
    <row r="32" spans="14:105" s="82" customFormat="1" ht="24.95" customHeight="1" x14ac:dyDescent="0.25">
      <c r="N32" s="82">
        <f>N20</f>
        <v>1</v>
      </c>
      <c r="O32" s="87">
        <f ca="1">IF($O$44=$O$18,O20,IF($O$44=$V$18,V20,IF($O$44=$AC$18,AC20,IF($O$44=$AJ$18,AJ20,IF($O$44=$AQ$18,AQ20,IF($O$44=$AX$18,AX20,IF($O$44=$BE$18,BE20,IF($O$44=$BL$18,BL20,IF($O$44=$BS$18,BS20,IF($O$44=$BZ$18,BZ20,IF($O$44=$CG$18,CG20,IF($O$44=$CN$18,CN20,CU20))))))))))))</f>
        <v>0</v>
      </c>
      <c r="P32" s="31">
        <f t="shared" ref="P32:U32" ca="1" si="2">IF($O$44=$O$18,P20,IF($O$44=$V$18,W20,IF($O$44=$AC$18,AD20,IF($O$44=$AJ$18,AK20,IF($O$44=$AQ$18,AR20,IF($O$44=$AX$18,AY20,IF($O$44=$BE$18,BF20,IF($O$44=$BL$18,BM20,IF($O$44=$BS$18,BT20,IF($O$44=$BZ$18,CA20,IF($O$44=$CG$18,CH20,IF($O$44=$CN$18,CO20,CV20))))))))))))</f>
        <v>0</v>
      </c>
      <c r="Q32" s="31">
        <f t="shared" ca="1" si="2"/>
        <v>0</v>
      </c>
      <c r="R32" s="31">
        <f t="shared" ca="1" si="2"/>
        <v>0</v>
      </c>
      <c r="S32" s="31">
        <f t="shared" ca="1" si="2"/>
        <v>0</v>
      </c>
      <c r="T32" s="31">
        <f t="shared" ca="1" si="2"/>
        <v>0</v>
      </c>
      <c r="U32" s="31">
        <f t="shared" ca="1" si="2"/>
        <v>0</v>
      </c>
      <c r="V32" s="87">
        <f ca="1">IF($V$44=$O$18,O20,IF($V$44=$V$18,V20,IF($V$44=$AC$18,AC20,IF($V$44=$AJ$18,AJ20,IF($V$44=$AQ$18,AQ20,IF($V$44=$AX$18,AX20,IF($V$44=$BE$18,BE20,IF($V$44=$BL$18,BL20,IF($V$44=$BS$18,BS20,IF($V$44=$BZ$18,BZ20,IF($V$44=$CG$18,CG20,IF($V$44=$CN$18,CN20,CU20))))))))))))</f>
        <v>0</v>
      </c>
      <c r="W32" s="31">
        <f t="shared" ref="W32:AB32" ca="1" si="3">IF($V$44=$O$18,P20,IF($V$44=$V$18,W20,IF($V$44=$AC$18,AD20,IF($V$44=$AJ$18,AK20,IF($V$44=$AQ$18,AR20,IF($V$44=$AX$18,AY20,IF($V$44=$BE$18,BF20,IF($V$44=$BL$18,BM20,IF($V$44=$BS$18,BT20,IF($V$44=$BZ$18,CA20,IF($V$44=$CG$18,CH20,IF($V$44=$CN$18,CO20,CV20))))))))))))</f>
        <v>0</v>
      </c>
      <c r="X32" s="31">
        <f t="shared" ca="1" si="3"/>
        <v>1</v>
      </c>
      <c r="Y32" s="31">
        <f t="shared" ca="1" si="3"/>
        <v>1</v>
      </c>
      <c r="Z32" s="31">
        <f t="shared" ca="1" si="3"/>
        <v>1</v>
      </c>
      <c r="AA32" s="31">
        <f t="shared" ca="1" si="3"/>
        <v>0</v>
      </c>
      <c r="AB32" s="31">
        <f t="shared" ca="1" si="3"/>
        <v>0</v>
      </c>
      <c r="AC32" s="87">
        <f ca="1">IF($AC$44=$O$18,O20,IF($AC$44=$V$18,V20,IF($AC$44=$AC$18,AC20,IF($AC$44=$AJ$18,AJ20,IF($AC$44=$AQ$18,AQ20,IF($AC$44=$AX$18,AX20,IF($AC$44=$BE$18,BE20,IF($AC$44=$BL$18,BL20,IF($AC$44=$BS$18,BS20,IF($AC$44=$BZ$18,BZ20,IF($AC$44=$CG$18,CG20,IF($AC$44=$CN$18,CN20,CU20))))))))))))</f>
        <v>0</v>
      </c>
      <c r="AD32" s="31">
        <f t="shared" ref="AD32:AI32" ca="1" si="4">IF($AC$44=$O$18,P20,IF($AC$44=$V$18,W20,IF($AC$44=$AC$18,AD20,IF($AC$44=$AJ$18,AK20,IF($AC$44=$AQ$18,AR20,IF($AC$44=$AX$18,AY20,IF($AC$44=$BE$18,BF20,IF($AC$44=$BL$18,BM20,IF($AC$44=$BS$18,BT20,IF($AC$44=$BZ$18,CA20,IF($AC$44=$CG$18,CH20,IF($AC$44=$CN$18,CO20,CV20))))))))))))</f>
        <v>0</v>
      </c>
      <c r="AE32" s="31">
        <f t="shared" ca="1" si="4"/>
        <v>0</v>
      </c>
      <c r="AF32" s="31">
        <f t="shared" ca="1" si="4"/>
        <v>0</v>
      </c>
      <c r="AG32" s="31">
        <f t="shared" ca="1" si="4"/>
        <v>0</v>
      </c>
      <c r="AH32" s="31">
        <f t="shared" ca="1" si="4"/>
        <v>0</v>
      </c>
      <c r="AI32" s="31">
        <f t="shared" ca="1" si="4"/>
        <v>0</v>
      </c>
      <c r="AJ32" s="87">
        <f ca="1">IF($AJ$44=$O$18,O20,IF($AJ$44=$V$18,V20,IF($AJ$44=$AC$18,AC20,IF($AJ$44=$AJ$18,AJ20,IF($AJ$44=$AQ$18,AQ20,IF($AJ$44=$AX$18,AX20,IF($AJ$44=$BE$18,BE20,IF($AJ$44=$BL$18,BL20,IF($AJ$44=$BS$18,BS20,IF($AJ$44=$BZ$18,BZ20,IF($AJ$44=$CG$18,CG20,IF($AJ$44=$CN$18,CN20,CU20))))))))))))</f>
        <v>0</v>
      </c>
      <c r="AK32" s="31">
        <f t="shared" ref="AK32:AP32" ca="1" si="5">IF($AJ$44=$O$18,P20,IF($AJ$44=$V$18,W20,IF($AJ$44=$AC$18,AD20,IF($AJ$44=$AJ$18,AK20,IF($AJ$44=$AQ$18,AR20,IF($AJ$44=$AX$18,AY20,IF($AJ$44=$BE$18,BF20,IF($AJ$44=$BL$18,BM20,IF($AJ$44=$BS$18,BT20,IF($AJ$44=$BZ$18,CA20,IF($AJ$44=$CG$18,CH20,IF($AJ$44=$CN$18,CO20,CV20))))))))))))</f>
        <v>0</v>
      </c>
      <c r="AL32" s="31">
        <f t="shared" ca="1" si="5"/>
        <v>1</v>
      </c>
      <c r="AM32" s="31">
        <f t="shared" ca="1" si="5"/>
        <v>1</v>
      </c>
      <c r="AN32" s="31">
        <f t="shared" ca="1" si="5"/>
        <v>1</v>
      </c>
      <c r="AO32" s="31">
        <f t="shared" ca="1" si="5"/>
        <v>0</v>
      </c>
      <c r="AP32" s="31">
        <f t="shared" ca="1" si="5"/>
        <v>0</v>
      </c>
      <c r="AQ32" s="87">
        <f ca="1">IF($AQ$44=$O$18,O20,IF($AQ$44=$V$18,V20,IF($AQ$44=$AC$18,AC20,IF($AQ$44=$AJ$18,AJ20,IF($AQ$44=$AQ$18,AQ20,IF($AQ$44=$AX$18,AX20,IF($AQ$44=$BE$18,BE20,IF($AQ$44=$BL$18,BL20,IF($AQ$44=$BS$18,BS20,IF($AQ$44=$BZ$18,BZ20,IF($AQ$44=$CG$18,CG20,IF($AQ$44=$CN$18,CN20,CU20))))))))))))</f>
        <v>0</v>
      </c>
      <c r="AR32" s="31">
        <f t="shared" ref="AR32:AW32" ca="1" si="6">IF($AQ$44=$O$18,P20,IF($AQ$44=$V$18,W20,IF($AQ$44=$AC$18,AD20,IF($AQ$44=$AJ$18,AK20,IF($AQ$44=$AQ$18,AR20,IF($AQ$44=$AX$18,AY20,IF($AQ$44=$BE$18,BF20,IF($AQ$44=$BL$18,BM20,IF($AQ$44=$BS$18,BT20,IF($AQ$44=$BZ$18,CA20,IF($AQ$44=$CG$18,CH20,IF($AQ$44=$CN$18,CO20,CV20))))))))))))</f>
        <v>0</v>
      </c>
      <c r="AS32" s="31">
        <f t="shared" ca="1" si="6"/>
        <v>1</v>
      </c>
      <c r="AT32" s="31">
        <f t="shared" ca="1" si="6"/>
        <v>1</v>
      </c>
      <c r="AU32" s="31">
        <f t="shared" ca="1" si="6"/>
        <v>1</v>
      </c>
      <c r="AV32" s="31">
        <f t="shared" ca="1" si="6"/>
        <v>0</v>
      </c>
      <c r="AW32" s="31">
        <f t="shared" ca="1" si="6"/>
        <v>0</v>
      </c>
      <c r="AX32" s="87">
        <f ca="1">IF($AX$44=$O$18,O20,IF($AX$44=$V$18,V20,IF($AX$44=$AC$18,AC20,IF($AX$44=$AJ$18,AJ20,IF($AX$44=$AQ$18,AQ20,IF($AX$44=$AX$18,AX20,IF($AX$44=$BE$18,BE20,IF($AX$44=$BL$18,BL20,IF($AX$44=$BS$18,BS20,IF($AX$44=$BZ$18,BZ20,IF($AX$44=$CG$18,CG20,IF($AX$44=$CN$18,CN20,CU20))))))))))))</f>
        <v>0</v>
      </c>
      <c r="AY32" s="31">
        <f t="shared" ref="AY32:BD32" ca="1" si="7">IF($AX$44=$O$18,P20,IF($AX$44=$V$18,W20,IF($AX$44=$AC$18,AD20,IF($AX$44=$AJ$18,AK20,IF($AX$44=$AQ$18,AR20,IF($AX$44=$AX$18,AY20,IF($AX$44=$BE$18,BF20,IF($AX$44=$BL$18,BM20,IF($AX$44=$BS$18,BT20,IF($AX$44=$BZ$18,CA20,IF($AX$44=$CG$18,CH20,IF($AX$44=$CN$18,CO20,CV20))))))))))))</f>
        <v>0</v>
      </c>
      <c r="AZ32" s="31">
        <f t="shared" ca="1" si="7"/>
        <v>1</v>
      </c>
      <c r="BA32" s="31">
        <f t="shared" ca="1" si="7"/>
        <v>1</v>
      </c>
      <c r="BB32" s="31">
        <f t="shared" ca="1" si="7"/>
        <v>1</v>
      </c>
      <c r="BC32" s="31">
        <f t="shared" ca="1" si="7"/>
        <v>0</v>
      </c>
      <c r="BD32" s="31">
        <f t="shared" ca="1" si="7"/>
        <v>0</v>
      </c>
      <c r="BE32" s="87">
        <f ca="1">IF($BE$44=$O$18,O20,IF($BE$44=$V$18,V20,IF($BE$44=$AC$18,AC20,IF($BE$44=$AJ$18,AJ20,IF($BE$44=$AQ$18,AQ20,IF($BE$44=$AX$18,AX20,IF($BE$44=$BE$18,BE20,IF($BE$44=$BL$18,BL20,IF($BE$44=$BS$18,BS20,IF($BE$44=$BZ$18,BZ20,IF($BE$44=$CG$18,CG20,IF($BE$44=$CN$18,CN20,CU20))))))))))))</f>
        <v>0</v>
      </c>
      <c r="BF32" s="31">
        <f t="shared" ref="BF32:BK32" ca="1" si="8">IF($BE$44=$O$18,P20,IF($BE$44=$V$18,W20,IF($BE$44=$AC$18,AD20,IF($BE$44=$AJ$18,AK20,IF($BE$44=$AQ$18,AR20,IF($BE$44=$AX$18,AY20,IF($BE$44=$BE$18,BF20,IF($BE$44=$BL$18,BM20,IF($BE$44=$BS$18,BT20,IF($BE$44=$BZ$18,CA20,IF($BE$44=$CG$18,CH20,IF($BE$44=$CN$18,CO20,CV20))))))))))))</f>
        <v>0</v>
      </c>
      <c r="BG32" s="31">
        <f t="shared" ca="1" si="8"/>
        <v>1</v>
      </c>
      <c r="BH32" s="31">
        <f t="shared" ca="1" si="8"/>
        <v>1</v>
      </c>
      <c r="BI32" s="31">
        <f t="shared" ca="1" si="8"/>
        <v>1</v>
      </c>
      <c r="BJ32" s="31">
        <f t="shared" ca="1" si="8"/>
        <v>0</v>
      </c>
      <c r="BK32" s="31">
        <f t="shared" ca="1" si="8"/>
        <v>0</v>
      </c>
      <c r="BL32" s="87">
        <f ca="1">IF($BL$44=$O$18,O20,IF($BL$44=$V$18,V20,IF($BL$44=$AC$18,AC20,IF($BL$44=$AJ$18,AJ20,IF($BL$44=$AQ$18,AQ20,IF($BL$44=$AX$18,AX20,IF($BL$44=$BE$18,BE20,IF($BL$44=$BL$18,BL20,IF($BL$44=$BS$18,BS20,IF($BL$44=$BZ$18,BZ20,IF($BL$44=$CG$18,CG20,IF($BL$44=$CN$18,CN20,CU20))))))))))))</f>
        <v>0</v>
      </c>
      <c r="BM32" s="31">
        <f t="shared" ref="BM32:BR32" ca="1" si="9">IF($BL$44=$O$18,P20,IF($BL$44=$V$18,W20,IF($BL$44=$AC$18,AD20,IF($BL$44=$AJ$18,AK20,IF($BL$44=$AQ$18,AR20,IF($BL$44=$AX$18,AY20,IF($BL$44=$BE$18,BF20,IF($BL$44=$BL$18,BM20,IF($BL$44=$BS$18,BT20,IF($BL$44=$BZ$18,CA20,IF($BL$44=$CG$18,CH20,IF($BL$44=$CN$18,CO20,CV20))))))))))))</f>
        <v>0</v>
      </c>
      <c r="BN32" s="31">
        <f t="shared" ca="1" si="9"/>
        <v>1</v>
      </c>
      <c r="BO32" s="31">
        <f t="shared" ca="1" si="9"/>
        <v>1</v>
      </c>
      <c r="BP32" s="31">
        <f t="shared" ca="1" si="9"/>
        <v>1</v>
      </c>
      <c r="BQ32" s="31">
        <f t="shared" ca="1" si="9"/>
        <v>0</v>
      </c>
      <c r="BR32" s="31">
        <f t="shared" ca="1" si="9"/>
        <v>0</v>
      </c>
      <c r="BS32" s="87">
        <f ca="1">IF($BS$44=$O$18,O20,IF($BS$44=$V$18,V20,IF($BS$44=$AC$18,AC20,IF($BS$44=$AJ$18,AJ20,IF($BS$44=$AQ$18,AQ20,IF($BS$44=$AX$18,AX20,IF($BS$44=$BE$18,BE20,IF($BS$44=$BL$18,BL20,IF($BS$44=$BS$18,BS20,IF($BS$44=$BZ$18,BZ20,IF($BS$44=$CG$18,CG20,IF($BS$44=$CN$18,CN20,CU20))))))))))))</f>
        <v>0</v>
      </c>
      <c r="BT32" s="31">
        <f t="shared" ref="BT32:BY32" ca="1" si="10">IF($BS$44=$O$18,P20,IF($BS$44=$V$18,W20,IF($BS$44=$AC$18,AD20,IF($BS$44=$AJ$18,AK20,IF($BS$44=$AQ$18,AR20,IF($BS$44=$AX$18,AY20,IF($BS$44=$BE$18,BF20,IF($BS$44=$BL$18,BM20,IF($BS$44=$BS$18,BT20,IF($BS$44=$BZ$18,CA20,IF($BS$44=$CG$18,CH20,IF($BS$44=$CN$18,CO20,CV20))))))))))))</f>
        <v>0</v>
      </c>
      <c r="BU32" s="31">
        <f t="shared" ca="1" si="10"/>
        <v>0</v>
      </c>
      <c r="BV32" s="31">
        <f t="shared" ca="1" si="10"/>
        <v>0</v>
      </c>
      <c r="BW32" s="31">
        <f t="shared" ca="1" si="10"/>
        <v>0</v>
      </c>
      <c r="BX32" s="31">
        <f t="shared" ca="1" si="10"/>
        <v>0</v>
      </c>
      <c r="BY32" s="31">
        <f t="shared" ca="1" si="10"/>
        <v>0</v>
      </c>
      <c r="BZ32" s="87">
        <f ca="1">IF($BZ$44=$O$18,O20,IF($BZ$44=$V$18,V20,IF($BZ$44=$AC$18,AC20,IF($BZ$44=$AJ$18,AJ20,IF($BZ$44=$AQ$18,AQ20,IF($BZ$44=$AX$18,AX20,IF($BZ$44=$BE$18,BE20,IF($BZ$44=$BL$18,BL20,IF($BZ$44=$BS$18,BS20,IF($BZ$44=$BZ$18,BZ20,IF($BZ$44=$CG$18,CG20,IF($BZ$44=$CN$18,CN20,CU20))))))))))))</f>
        <v>0</v>
      </c>
      <c r="CA32" s="31">
        <f t="shared" ref="CA32:CF32" ca="1" si="11">IF($BZ$44=$O$18,P20,IF($BZ$44=$V$18,W20,IF($BZ$44=$AC$18,AD20,IF($BZ$44=$AJ$18,AK20,IF($BZ$44=$AQ$18,AR20,IF($BZ$44=$AX$18,AY20,IF($BZ$44=$BE$18,BF20,IF($BZ$44=$BL$18,BM20,IF($BZ$44=$BS$18,BT20,IF($BZ$44=$BZ$18,CA20,IF($BZ$44=$CG$18,CH20,IF($BZ$44=$CN$18,CO20,CV20))))))))))))</f>
        <v>0</v>
      </c>
      <c r="CB32" s="31">
        <f t="shared" ca="1" si="11"/>
        <v>1</v>
      </c>
      <c r="CC32" s="31">
        <f t="shared" ca="1" si="11"/>
        <v>1</v>
      </c>
      <c r="CD32" s="31">
        <f t="shared" ca="1" si="11"/>
        <v>1</v>
      </c>
      <c r="CE32" s="31">
        <f t="shared" ca="1" si="11"/>
        <v>0</v>
      </c>
      <c r="CF32" s="85">
        <f t="shared" ca="1" si="11"/>
        <v>0</v>
      </c>
    </row>
    <row r="33" spans="14:84" s="82" customFormat="1" ht="24.95" customHeight="1" x14ac:dyDescent="0.25">
      <c r="N33" s="82">
        <f t="shared" ref="N33:N40" si="12">N21</f>
        <v>2</v>
      </c>
      <c r="O33" s="88">
        <f t="shared" ref="O33:O40" ca="1" si="13">IF($O$44=$O$18,O21,IF($O$44=$V$18,V21,IF($O$44=$AC$18,AC21,IF($O$44=$AJ$18,AJ21,IF($O$44=$AQ$18,AQ21,IF($O$44=$AX$18,AX21,IF($O$44=$BE$18,BE21,IF($O$44=$BL$18,BL21,IF($O$44=$BS$18,BS21,IF($O$44=$BZ$18,BZ21,IF($O$44=$CG$18,CG21,IF($O$44=$CN$18,CN21,CU21))))))))))))</f>
        <v>0</v>
      </c>
      <c r="P33" s="26">
        <f t="shared" ref="P33:P40" ca="1" si="14">IF($O$44=$O$18,P21,IF($O$44=$V$18,W21,IF($O$44=$AC$18,AD21,IF($O$44=$AJ$18,AK21,IF($O$44=$AQ$18,AR21,IF($O$44=$AX$18,AY21,IF($O$44=$BE$18,BF21,IF($O$44=$BL$18,BM21,IF($O$44=$BS$18,BT21,IF($O$44=$BZ$18,CA21,IF($O$44=$CG$18,CH21,IF($O$44=$CN$18,CO21,CV21))))))))))))</f>
        <v>1</v>
      </c>
      <c r="Q33" s="26">
        <f t="shared" ref="Q33:Q40" ca="1" si="15">IF($O$44=$O$18,Q21,IF($O$44=$V$18,X21,IF($O$44=$AC$18,AE21,IF($O$44=$AJ$18,AL21,IF($O$44=$AQ$18,AS21,IF($O$44=$AX$18,AZ21,IF($O$44=$BE$18,BG21,IF($O$44=$BL$18,BN21,IF($O$44=$BS$18,BU21,IF($O$44=$BZ$18,CB21,IF($O$44=$CG$18,CI21,IF($O$44=$CN$18,CP21,CW21))))))))))))</f>
        <v>0</v>
      </c>
      <c r="R33" s="26">
        <f t="shared" ref="R33:R40" ca="1" si="16">IF($O$44=$O$18,R21,IF($O$44=$V$18,Y21,IF($O$44=$AC$18,AF21,IF($O$44=$AJ$18,AM21,IF($O$44=$AQ$18,AT21,IF($O$44=$AX$18,BA21,IF($O$44=$BE$18,BH21,IF($O$44=$BL$18,BO21,IF($O$44=$BS$18,BV21,IF($O$44=$BZ$18,CC21,IF($O$44=$CG$18,CJ21,IF($O$44=$CN$18,CQ21,CX21))))))))))))</f>
        <v>0</v>
      </c>
      <c r="S33" s="26">
        <f t="shared" ref="S33:S40" ca="1" si="17">IF($O$44=$O$18,S21,IF($O$44=$V$18,Z21,IF($O$44=$AC$18,AG21,IF($O$44=$AJ$18,AN21,IF($O$44=$AQ$18,AU21,IF($O$44=$AX$18,BB21,IF($O$44=$BE$18,BI21,IF($O$44=$BL$18,BP21,IF($O$44=$BS$18,BW21,IF($O$44=$BZ$18,CD21,IF($O$44=$CG$18,CK21,IF($O$44=$CN$18,CR21,CY21))))))))))))</f>
        <v>0</v>
      </c>
      <c r="T33" s="26">
        <f t="shared" ref="T33:T40" ca="1" si="18">IF($O$44=$O$18,T21,IF($O$44=$V$18,AA21,IF($O$44=$AC$18,AH21,IF($O$44=$AJ$18,AO21,IF($O$44=$AQ$18,AV21,IF($O$44=$AX$18,BC21,IF($O$44=$BE$18,BJ21,IF($O$44=$BL$18,BQ21,IF($O$44=$BS$18,BX21,IF($O$44=$BZ$18,CE21,IF($O$44=$CG$18,CL21,IF($O$44=$CN$18,CS21,CZ21))))))))))))</f>
        <v>1</v>
      </c>
      <c r="U33" s="26">
        <f t="shared" ref="U33:U40" ca="1" si="19">IF($O$44=$O$18,U21,IF($O$44=$V$18,AB21,IF($O$44=$AC$18,AI21,IF($O$44=$AJ$18,AP21,IF($O$44=$AQ$18,AW21,IF($O$44=$AX$18,BD21,IF($O$44=$BE$18,BK21,IF($O$44=$BL$18,BR21,IF($O$44=$BS$18,BY21,IF($O$44=$BZ$18,CF21,IF($O$44=$CG$18,CM21,IF($O$44=$CN$18,CT21,DA21))))))))))))</f>
        <v>0</v>
      </c>
      <c r="V33" s="88">
        <f t="shared" ref="V33:V40" ca="1" si="20">IF($V$44=$O$18,O21,IF($V$44=$V$18,V21,IF($V$44=$AC$18,AC21,IF($V$44=$AJ$18,AJ21,IF($V$44=$AQ$18,AQ21,IF($V$44=$AX$18,AX21,IF($V$44=$BE$18,BE21,IF($V$44=$BL$18,BL21,IF($V$44=$BS$18,BS21,IF($V$44=$BZ$18,BZ21,IF($V$44=$CG$18,CG21,IF($V$44=$CN$18,CN21,CU21))))))))))))</f>
        <v>0</v>
      </c>
      <c r="W33" s="26">
        <f t="shared" ref="W33:W40" ca="1" si="21">IF($V$44=$O$18,P21,IF($V$44=$V$18,W21,IF($V$44=$AC$18,AD21,IF($V$44=$AJ$18,AK21,IF($V$44=$AQ$18,AR21,IF($V$44=$AX$18,AY21,IF($V$44=$BE$18,BF21,IF($V$44=$BL$18,BM21,IF($V$44=$BS$18,BT21,IF($V$44=$BZ$18,CA21,IF($V$44=$CG$18,CH21,IF($V$44=$CN$18,CO21,CV21))))))))))))</f>
        <v>0</v>
      </c>
      <c r="X33" s="26">
        <f t="shared" ref="X33:X40" ca="1" si="22">IF($V$44=$O$18,Q21,IF($V$44=$V$18,X21,IF($V$44=$AC$18,AE21,IF($V$44=$AJ$18,AL21,IF($V$44=$AQ$18,AS21,IF($V$44=$AX$18,AZ21,IF($V$44=$BE$18,BG21,IF($V$44=$BL$18,BN21,IF($V$44=$BS$18,BU21,IF($V$44=$BZ$18,CB21,IF($V$44=$CG$18,CI21,IF($V$44=$CN$18,CP21,CW21))))))))))))</f>
        <v>0</v>
      </c>
      <c r="Y33" s="26">
        <f t="shared" ref="Y33:Y40" ca="1" si="23">IF($V$44=$O$18,R21,IF($V$44=$V$18,Y21,IF($V$44=$AC$18,AF21,IF($V$44=$AJ$18,AM21,IF($V$44=$AQ$18,AT21,IF($V$44=$AX$18,BA21,IF($V$44=$BE$18,BH21,IF($V$44=$BL$18,BO21,IF($V$44=$BS$18,BV21,IF($V$44=$BZ$18,CC21,IF($V$44=$CG$18,CJ21,IF($V$44=$CN$18,CQ21,CX21))))))))))))</f>
        <v>0</v>
      </c>
      <c r="Z33" s="26">
        <f t="shared" ref="Z33:Z40" ca="1" si="24">IF($V$44=$O$18,S21,IF($V$44=$V$18,Z21,IF($V$44=$AC$18,AG21,IF($V$44=$AJ$18,AN21,IF($V$44=$AQ$18,AU21,IF($V$44=$AX$18,BB21,IF($V$44=$BE$18,BI21,IF($V$44=$BL$18,BP21,IF($V$44=$BS$18,BW21,IF($V$44=$BZ$18,CD21,IF($V$44=$CG$18,CK21,IF($V$44=$CN$18,CR21,CY21))))))))))))</f>
        <v>0</v>
      </c>
      <c r="AA33" s="26">
        <f t="shared" ref="AA33:AA40" ca="1" si="25">IF($V$44=$O$18,T21,IF($V$44=$V$18,AA21,IF($V$44=$AC$18,AH21,IF($V$44=$AJ$18,AO21,IF($V$44=$AQ$18,AV21,IF($V$44=$AX$18,BC21,IF($V$44=$BE$18,BJ21,IF($V$44=$BL$18,BQ21,IF($V$44=$BS$18,BX21,IF($V$44=$BZ$18,CE21,IF($V$44=$CG$18,CL21,IF($V$44=$CN$18,CS21,CZ21))))))))))))</f>
        <v>1</v>
      </c>
      <c r="AB33" s="26">
        <f t="shared" ref="AB33:AB40" ca="1" si="26">IF($V$44=$O$18,U21,IF($V$44=$V$18,AB21,IF($V$44=$AC$18,AI21,IF($V$44=$AJ$18,AP21,IF($V$44=$AQ$18,AW21,IF($V$44=$AX$18,BD21,IF($V$44=$BE$18,BK21,IF($V$44=$BL$18,BR21,IF($V$44=$BS$18,BY21,IF($V$44=$BZ$18,CF21,IF($V$44=$CG$18,CM21,IF($V$44=$CN$18,CT21,DA21))))))))))))</f>
        <v>0</v>
      </c>
      <c r="AC33" s="88">
        <f t="shared" ref="AC33:AC40" ca="1" si="27">IF($AC$44=$O$18,O21,IF($AC$44=$V$18,V21,IF($AC$44=$AC$18,AC21,IF($AC$44=$AJ$18,AJ21,IF($AC$44=$AQ$18,AQ21,IF($AC$44=$AX$18,AX21,IF($AC$44=$BE$18,BE21,IF($AC$44=$BL$18,BL21,IF($AC$44=$BS$18,BS21,IF($AC$44=$BZ$18,BZ21,IF($AC$44=$CG$18,CG21,IF($AC$44=$CN$18,CN21,CU21))))))))))))</f>
        <v>0</v>
      </c>
      <c r="AD33" s="26">
        <f t="shared" ref="AD33:AD40" ca="1" si="28">IF($AC$44=$O$18,P21,IF($AC$44=$V$18,W21,IF($AC$44=$AC$18,AD21,IF($AC$44=$AJ$18,AK21,IF($AC$44=$AQ$18,AR21,IF($AC$44=$AX$18,AY21,IF($AC$44=$BE$18,BF21,IF($AC$44=$BL$18,BM21,IF($AC$44=$BS$18,BT21,IF($AC$44=$BZ$18,CA21,IF($AC$44=$CG$18,CH21,IF($AC$44=$CN$18,CO21,CV21))))))))))))</f>
        <v>0</v>
      </c>
      <c r="AE33" s="26">
        <f t="shared" ref="AE33:AE40" ca="1" si="29">IF($AC$44=$O$18,Q21,IF($AC$44=$V$18,X21,IF($AC$44=$AC$18,AE21,IF($AC$44=$AJ$18,AL21,IF($AC$44=$AQ$18,AS21,IF($AC$44=$AX$18,AZ21,IF($AC$44=$BE$18,BG21,IF($AC$44=$BL$18,BN21,IF($AC$44=$BS$18,BU21,IF($AC$44=$BZ$18,CB21,IF($AC$44=$CG$18,CI21,IF($AC$44=$CN$18,CP21,CW21))))))))))))</f>
        <v>0</v>
      </c>
      <c r="AF33" s="26">
        <f t="shared" ref="AF33:AF40" ca="1" si="30">IF($AC$44=$O$18,R21,IF($AC$44=$V$18,Y21,IF($AC$44=$AC$18,AF21,IF($AC$44=$AJ$18,AM21,IF($AC$44=$AQ$18,AT21,IF($AC$44=$AX$18,BA21,IF($AC$44=$BE$18,BH21,IF($AC$44=$BL$18,BO21,IF($AC$44=$BS$18,BV21,IF($AC$44=$BZ$18,CC21,IF($AC$44=$CG$18,CJ21,IF($AC$44=$CN$18,CQ21,CX21))))))))))))</f>
        <v>0</v>
      </c>
      <c r="AG33" s="26">
        <f t="shared" ref="AG33:AG40" ca="1" si="31">IF($AC$44=$O$18,S21,IF($AC$44=$V$18,Z21,IF($AC$44=$AC$18,AG21,IF($AC$44=$AJ$18,AN21,IF($AC$44=$AQ$18,AU21,IF($AC$44=$AX$18,BB21,IF($AC$44=$BE$18,BI21,IF($AC$44=$BL$18,BP21,IF($AC$44=$BS$18,BW21,IF($AC$44=$BZ$18,CD21,IF($AC$44=$CG$18,CK21,IF($AC$44=$CN$18,CR21,CY21))))))))))))</f>
        <v>0</v>
      </c>
      <c r="AH33" s="26">
        <f t="shared" ref="AH33:AH40" ca="1" si="32">IF($AC$44=$O$18,T21,IF($AC$44=$V$18,AA21,IF($AC$44=$AC$18,AH21,IF($AC$44=$AJ$18,AO21,IF($AC$44=$AQ$18,AV21,IF($AC$44=$AX$18,BC21,IF($AC$44=$BE$18,BJ21,IF($AC$44=$BL$18,BQ21,IF($AC$44=$BS$18,BX21,IF($AC$44=$BZ$18,CE21,IF($AC$44=$CG$18,CL21,IF($AC$44=$CN$18,CS21,CZ21))))))))))))</f>
        <v>1</v>
      </c>
      <c r="AI33" s="26">
        <f t="shared" ref="AI33:AI40" ca="1" si="33">IF($AC$44=$O$18,U21,IF($AC$44=$V$18,AB21,IF($AC$44=$AC$18,AI21,IF($AC$44=$AJ$18,AP21,IF($AC$44=$AQ$18,AW21,IF($AC$44=$AX$18,BD21,IF($AC$44=$BE$18,BK21,IF($AC$44=$BL$18,BR21,IF($AC$44=$BS$18,BY21,IF($AC$44=$BZ$18,CF21,IF($AC$44=$CG$18,CM21,IF($AC$44=$CN$18,CT21,DA21))))))))))))</f>
        <v>0</v>
      </c>
      <c r="AJ33" s="88">
        <f t="shared" ref="AJ33:AJ40" ca="1" si="34">IF($AJ$44=$O$18,O21,IF($AJ$44=$V$18,V21,IF($AJ$44=$AC$18,AC21,IF($AJ$44=$AJ$18,AJ21,IF($AJ$44=$AQ$18,AQ21,IF($AJ$44=$AX$18,AX21,IF($AJ$44=$BE$18,BE21,IF($AJ$44=$BL$18,BL21,IF($AJ$44=$BS$18,BS21,IF($AJ$44=$BZ$18,BZ21,IF($AJ$44=$CG$18,CG21,IF($AJ$44=$CN$18,CN21,CU21))))))))))))</f>
        <v>0</v>
      </c>
      <c r="AK33" s="26">
        <f t="shared" ref="AK33:AK40" ca="1" si="35">IF($AJ$44=$O$18,P21,IF($AJ$44=$V$18,W21,IF($AJ$44=$AC$18,AD21,IF($AJ$44=$AJ$18,AK21,IF($AJ$44=$AQ$18,AR21,IF($AJ$44=$AX$18,AY21,IF($AJ$44=$BE$18,BF21,IF($AJ$44=$BL$18,BM21,IF($AJ$44=$BS$18,BT21,IF($AJ$44=$BZ$18,CA21,IF($AJ$44=$CG$18,CH21,IF($AJ$44=$CN$18,CO21,CV21))))))))))))</f>
        <v>1</v>
      </c>
      <c r="AL33" s="26">
        <f t="shared" ref="AL33:AL40" ca="1" si="36">IF($AJ$44=$O$18,Q21,IF($AJ$44=$V$18,X21,IF($AJ$44=$AC$18,AE21,IF($AJ$44=$AJ$18,AL21,IF($AJ$44=$AQ$18,AS21,IF($AJ$44=$AX$18,AZ21,IF($AJ$44=$BE$18,BG21,IF($AJ$44=$BL$18,BN21,IF($AJ$44=$BS$18,BU21,IF($AJ$44=$BZ$18,CB21,IF($AJ$44=$CG$18,CI21,IF($AJ$44=$CN$18,CP21,CW21))))))))))))</f>
        <v>0</v>
      </c>
      <c r="AM33" s="26">
        <f t="shared" ref="AM33:AM40" ca="1" si="37">IF($AJ$44=$O$18,R21,IF($AJ$44=$V$18,Y21,IF($AJ$44=$AC$18,AF21,IF($AJ$44=$AJ$18,AM21,IF($AJ$44=$AQ$18,AT21,IF($AJ$44=$AX$18,BA21,IF($AJ$44=$BE$18,BH21,IF($AJ$44=$BL$18,BO21,IF($AJ$44=$BS$18,BV21,IF($AJ$44=$BZ$18,CC21,IF($AJ$44=$CG$18,CJ21,IF($AJ$44=$CN$18,CQ21,CX21))))))))))))</f>
        <v>0</v>
      </c>
      <c r="AN33" s="26">
        <f t="shared" ref="AN33:AN40" ca="1" si="38">IF($AJ$44=$O$18,S21,IF($AJ$44=$V$18,Z21,IF($AJ$44=$AC$18,AG21,IF($AJ$44=$AJ$18,AN21,IF($AJ$44=$AQ$18,AU21,IF($AJ$44=$AX$18,BB21,IF($AJ$44=$BE$18,BI21,IF($AJ$44=$BL$18,BP21,IF($AJ$44=$BS$18,BW21,IF($AJ$44=$BZ$18,CD21,IF($AJ$44=$CG$18,CK21,IF($AJ$44=$CN$18,CR21,CY21))))))))))))</f>
        <v>0</v>
      </c>
      <c r="AO33" s="26">
        <f t="shared" ref="AO33:AO40" ca="1" si="39">IF($AJ$44=$O$18,T21,IF($AJ$44=$V$18,AA21,IF($AJ$44=$AC$18,AH21,IF($AJ$44=$AJ$18,AO21,IF($AJ$44=$AQ$18,AV21,IF($AJ$44=$AX$18,BC21,IF($AJ$44=$BE$18,BJ21,IF($AJ$44=$BL$18,BQ21,IF($AJ$44=$BS$18,BX21,IF($AJ$44=$BZ$18,CE21,IF($AJ$44=$CG$18,CL21,IF($AJ$44=$CN$18,CS21,CZ21))))))))))))</f>
        <v>1</v>
      </c>
      <c r="AP33" s="26">
        <f t="shared" ref="AP33:AP40" ca="1" si="40">IF($AJ$44=$O$18,U21,IF($AJ$44=$V$18,AB21,IF($AJ$44=$AC$18,AI21,IF($AJ$44=$AJ$18,AP21,IF($AJ$44=$AQ$18,AW21,IF($AJ$44=$AX$18,BD21,IF($AJ$44=$BE$18,BK21,IF($AJ$44=$BL$18,BR21,IF($AJ$44=$BS$18,BY21,IF($AJ$44=$BZ$18,CF21,IF($AJ$44=$CG$18,CM21,IF($AJ$44=$CN$18,CT21,DA21))))))))))))</f>
        <v>0</v>
      </c>
      <c r="AQ33" s="88">
        <f t="shared" ref="AQ33:AQ40" ca="1" si="41">IF($AQ$44=$O$18,O21,IF($AQ$44=$V$18,V21,IF($AQ$44=$AC$18,AC21,IF($AQ$44=$AJ$18,AJ21,IF($AQ$44=$AQ$18,AQ21,IF($AQ$44=$AX$18,AX21,IF($AQ$44=$BE$18,BE21,IF($AQ$44=$BL$18,BL21,IF($AQ$44=$BS$18,BS21,IF($AQ$44=$BZ$18,BZ21,IF($AQ$44=$CG$18,CG21,IF($AQ$44=$CN$18,CN21,CU21))))))))))))</f>
        <v>0</v>
      </c>
      <c r="AR33" s="26">
        <f t="shared" ref="AR33:AR40" ca="1" si="42">IF($AQ$44=$O$18,P21,IF($AQ$44=$V$18,W21,IF($AQ$44=$AC$18,AD21,IF($AQ$44=$AJ$18,AK21,IF($AQ$44=$AQ$18,AR21,IF($AQ$44=$AX$18,AY21,IF($AQ$44=$BE$18,BF21,IF($AQ$44=$BL$18,BM21,IF($AQ$44=$BS$18,BT21,IF($AQ$44=$BZ$18,CA21,IF($AQ$44=$CG$18,CH21,IF($AQ$44=$CN$18,CO21,CV21))))))))))))</f>
        <v>1</v>
      </c>
      <c r="AS33" s="26">
        <f t="shared" ref="AS33:AS40" ca="1" si="43">IF($AQ$44=$O$18,Q21,IF($AQ$44=$V$18,X21,IF($AQ$44=$AC$18,AE21,IF($AQ$44=$AJ$18,AL21,IF($AQ$44=$AQ$18,AS21,IF($AQ$44=$AX$18,AZ21,IF($AQ$44=$BE$18,BG21,IF($AQ$44=$BL$18,BN21,IF($AQ$44=$BS$18,BU21,IF($AQ$44=$BZ$18,CB21,IF($AQ$44=$CG$18,CI21,IF($AQ$44=$CN$18,CP21,CW21))))))))))))</f>
        <v>0</v>
      </c>
      <c r="AT33" s="26">
        <f t="shared" ref="AT33:AT40" ca="1" si="44">IF($AQ$44=$O$18,R21,IF($AQ$44=$V$18,Y21,IF($AQ$44=$AC$18,AF21,IF($AQ$44=$AJ$18,AM21,IF($AQ$44=$AQ$18,AT21,IF($AQ$44=$AX$18,BA21,IF($AQ$44=$BE$18,BH21,IF($AQ$44=$BL$18,BO21,IF($AQ$44=$BS$18,BV21,IF($AQ$44=$BZ$18,CC21,IF($AQ$44=$CG$18,CJ21,IF($AQ$44=$CN$18,CQ21,CX21))))))))))))</f>
        <v>0</v>
      </c>
      <c r="AU33" s="26">
        <f t="shared" ref="AU33:AU40" ca="1" si="45">IF($AQ$44=$O$18,S21,IF($AQ$44=$V$18,Z21,IF($AQ$44=$AC$18,AG21,IF($AQ$44=$AJ$18,AN21,IF($AQ$44=$AQ$18,AU21,IF($AQ$44=$AX$18,BB21,IF($AQ$44=$BE$18,BI21,IF($AQ$44=$BL$18,BP21,IF($AQ$44=$BS$18,BW21,IF($AQ$44=$BZ$18,CD21,IF($AQ$44=$CG$18,CK21,IF($AQ$44=$CN$18,CR21,CY21))))))))))))</f>
        <v>0</v>
      </c>
      <c r="AV33" s="26">
        <f t="shared" ref="AV33:AV40" ca="1" si="46">IF($AQ$44=$O$18,T21,IF($AQ$44=$V$18,AA21,IF($AQ$44=$AC$18,AH21,IF($AQ$44=$AJ$18,AO21,IF($AQ$44=$AQ$18,AV21,IF($AQ$44=$AX$18,BC21,IF($AQ$44=$BE$18,BJ21,IF($AQ$44=$BL$18,BQ21,IF($AQ$44=$BS$18,BX21,IF($AQ$44=$BZ$18,CE21,IF($AQ$44=$CG$18,CL21,IF($AQ$44=$CN$18,CS21,CZ21))))))))))))</f>
        <v>1</v>
      </c>
      <c r="AW33" s="26">
        <f t="shared" ref="AW33:AW40" ca="1" si="47">IF($AQ$44=$O$18,U21,IF($AQ$44=$V$18,AB21,IF($AQ$44=$AC$18,AI21,IF($AQ$44=$AJ$18,AP21,IF($AQ$44=$AQ$18,AW21,IF($AQ$44=$AX$18,BD21,IF($AQ$44=$BE$18,BK21,IF($AQ$44=$BL$18,BR21,IF($AQ$44=$BS$18,BY21,IF($AQ$44=$BZ$18,CF21,IF($AQ$44=$CG$18,CM21,IF($AQ$44=$CN$18,CT21,DA21))))))))))))</f>
        <v>0</v>
      </c>
      <c r="AX33" s="88">
        <f t="shared" ref="AX33:AX40" ca="1" si="48">IF($AX$44=$O$18,O21,IF($AX$44=$V$18,V21,IF($AX$44=$AC$18,AC21,IF($AX$44=$AJ$18,AJ21,IF($AX$44=$AQ$18,AQ21,IF($AX$44=$AX$18,AX21,IF($AX$44=$BE$18,BE21,IF($AX$44=$BL$18,BL21,IF($AX$44=$BS$18,BS21,IF($AX$44=$BZ$18,BZ21,IF($AX$44=$CG$18,CG21,IF($AX$44=$CN$18,CN21,CU21))))))))))))</f>
        <v>0</v>
      </c>
      <c r="AY33" s="26">
        <f t="shared" ref="AY33:AY40" ca="1" si="49">IF($AX$44=$O$18,P21,IF($AX$44=$V$18,W21,IF($AX$44=$AC$18,AD21,IF($AX$44=$AJ$18,AK21,IF($AX$44=$AQ$18,AR21,IF($AX$44=$AX$18,AY21,IF($AX$44=$BE$18,BF21,IF($AX$44=$BL$18,BM21,IF($AX$44=$BS$18,BT21,IF($AX$44=$BZ$18,CA21,IF($AX$44=$CG$18,CH21,IF($AX$44=$CN$18,CO21,CV21))))))))))))</f>
        <v>1</v>
      </c>
      <c r="AZ33" s="26">
        <f t="shared" ref="AZ33:AZ40" ca="1" si="50">IF($AX$44=$O$18,Q21,IF($AX$44=$V$18,X21,IF($AX$44=$AC$18,AE21,IF($AX$44=$AJ$18,AL21,IF($AX$44=$AQ$18,AS21,IF($AX$44=$AX$18,AZ21,IF($AX$44=$BE$18,BG21,IF($AX$44=$BL$18,BN21,IF($AX$44=$BS$18,BU21,IF($AX$44=$BZ$18,CB21,IF($AX$44=$CG$18,CI21,IF($AX$44=$CN$18,CP21,CW21))))))))))))</f>
        <v>0</v>
      </c>
      <c r="BA33" s="26">
        <f t="shared" ref="BA33:BA40" ca="1" si="51">IF($AX$44=$O$18,R21,IF($AX$44=$V$18,Y21,IF($AX$44=$AC$18,AF21,IF($AX$44=$AJ$18,AM21,IF($AX$44=$AQ$18,AT21,IF($AX$44=$AX$18,BA21,IF($AX$44=$BE$18,BH21,IF($AX$44=$BL$18,BO21,IF($AX$44=$BS$18,BV21,IF($AX$44=$BZ$18,CC21,IF($AX$44=$CG$18,CJ21,IF($AX$44=$CN$18,CQ21,CX21))))))))))))</f>
        <v>0</v>
      </c>
      <c r="BB33" s="26">
        <f t="shared" ref="BB33:BB40" ca="1" si="52">IF($AX$44=$O$18,S21,IF($AX$44=$V$18,Z21,IF($AX$44=$AC$18,AG21,IF($AX$44=$AJ$18,AN21,IF($AX$44=$AQ$18,AU21,IF($AX$44=$AX$18,BB21,IF($AX$44=$BE$18,BI21,IF($AX$44=$BL$18,BP21,IF($AX$44=$BS$18,BW21,IF($AX$44=$BZ$18,CD21,IF($AX$44=$CG$18,CK21,IF($AX$44=$CN$18,CR21,CY21))))))))))))</f>
        <v>0</v>
      </c>
      <c r="BC33" s="26">
        <f t="shared" ref="BC33:BC40" ca="1" si="53">IF($AX$44=$O$18,T21,IF($AX$44=$V$18,AA21,IF($AX$44=$AC$18,AH21,IF($AX$44=$AJ$18,AO21,IF($AX$44=$AQ$18,AV21,IF($AX$44=$AX$18,BC21,IF($AX$44=$BE$18,BJ21,IF($AX$44=$BL$18,BQ21,IF($AX$44=$BS$18,BX21,IF($AX$44=$BZ$18,CE21,IF($AX$44=$CG$18,CL21,IF($AX$44=$CN$18,CS21,CZ21))))))))))))</f>
        <v>1</v>
      </c>
      <c r="BD33" s="26">
        <f t="shared" ref="BD33:BD40" ca="1" si="54">IF($AX$44=$O$18,U21,IF($AX$44=$V$18,AB21,IF($AX$44=$AC$18,AI21,IF($AX$44=$AJ$18,AP21,IF($AX$44=$AQ$18,AW21,IF($AX$44=$AX$18,BD21,IF($AX$44=$BE$18,BK21,IF($AX$44=$BL$18,BR21,IF($AX$44=$BS$18,BY21,IF($AX$44=$BZ$18,CF21,IF($AX$44=$CG$18,CM21,IF($AX$44=$CN$18,CT21,DA21))))))))))))</f>
        <v>0</v>
      </c>
      <c r="BE33" s="88">
        <f t="shared" ref="BE33:BE40" ca="1" si="55">IF($BE$44=$O$18,O21,IF($BE$44=$V$18,V21,IF($BE$44=$AC$18,AC21,IF($BE$44=$AJ$18,AJ21,IF($BE$44=$AQ$18,AQ21,IF($BE$44=$AX$18,AX21,IF($BE$44=$BE$18,BE21,IF($BE$44=$BL$18,BL21,IF($BE$44=$BS$18,BS21,IF($BE$44=$BZ$18,BZ21,IF($BE$44=$CG$18,CG21,IF($BE$44=$CN$18,CN21,CU21))))))))))))</f>
        <v>0</v>
      </c>
      <c r="BF33" s="26">
        <f t="shared" ref="BF33:BF40" ca="1" si="56">IF($BE$44=$O$18,P21,IF($BE$44=$V$18,W21,IF($BE$44=$AC$18,AD21,IF($BE$44=$AJ$18,AK21,IF($BE$44=$AQ$18,AR21,IF($BE$44=$AX$18,AY21,IF($BE$44=$BE$18,BF21,IF($BE$44=$BL$18,BM21,IF($BE$44=$BS$18,BT21,IF($BE$44=$BZ$18,CA21,IF($BE$44=$CG$18,CH21,IF($BE$44=$CN$18,CO21,CV21))))))))))))</f>
        <v>1</v>
      </c>
      <c r="BG33" s="26">
        <f t="shared" ref="BG33:BG40" ca="1" si="57">IF($BE$44=$O$18,Q21,IF($BE$44=$V$18,X21,IF($BE$44=$AC$18,AE21,IF($BE$44=$AJ$18,AL21,IF($BE$44=$AQ$18,AS21,IF($BE$44=$AX$18,AZ21,IF($BE$44=$BE$18,BG21,IF($BE$44=$BL$18,BN21,IF($BE$44=$BS$18,BU21,IF($BE$44=$BZ$18,CB21,IF($BE$44=$CG$18,CI21,IF($BE$44=$CN$18,CP21,CW21))))))))))))</f>
        <v>0</v>
      </c>
      <c r="BH33" s="26">
        <f t="shared" ref="BH33:BH40" ca="1" si="58">IF($BE$44=$O$18,R21,IF($BE$44=$V$18,Y21,IF($BE$44=$AC$18,AF21,IF($BE$44=$AJ$18,AM21,IF($BE$44=$AQ$18,AT21,IF($BE$44=$AX$18,BA21,IF($BE$44=$BE$18,BH21,IF($BE$44=$BL$18,BO21,IF($BE$44=$BS$18,BV21,IF($BE$44=$BZ$18,CC21,IF($BE$44=$CG$18,CJ21,IF($BE$44=$CN$18,CQ21,CX21))))))))))))</f>
        <v>0</v>
      </c>
      <c r="BI33" s="26">
        <f t="shared" ref="BI33:BI40" ca="1" si="59">IF($BE$44=$O$18,S21,IF($BE$44=$V$18,Z21,IF($BE$44=$AC$18,AG21,IF($BE$44=$AJ$18,AN21,IF($BE$44=$AQ$18,AU21,IF($BE$44=$AX$18,BB21,IF($BE$44=$BE$18,BI21,IF($BE$44=$BL$18,BP21,IF($BE$44=$BS$18,BW21,IF($BE$44=$BZ$18,CD21,IF($BE$44=$CG$18,CK21,IF($BE$44=$CN$18,CR21,CY21))))))))))))</f>
        <v>0</v>
      </c>
      <c r="BJ33" s="26">
        <f t="shared" ref="BJ33:BJ40" ca="1" si="60">IF($BE$44=$O$18,T21,IF($BE$44=$V$18,AA21,IF($BE$44=$AC$18,AH21,IF($BE$44=$AJ$18,AO21,IF($BE$44=$AQ$18,AV21,IF($BE$44=$AX$18,BC21,IF($BE$44=$BE$18,BJ21,IF($BE$44=$BL$18,BQ21,IF($BE$44=$BS$18,BX21,IF($BE$44=$BZ$18,CE21,IF($BE$44=$CG$18,CL21,IF($BE$44=$CN$18,CS21,CZ21))))))))))))</f>
        <v>0</v>
      </c>
      <c r="BK33" s="26">
        <f t="shared" ref="BK33:BK40" ca="1" si="61">IF($BE$44=$O$18,U21,IF($BE$44=$V$18,AB21,IF($BE$44=$AC$18,AI21,IF($BE$44=$AJ$18,AP21,IF($BE$44=$AQ$18,AW21,IF($BE$44=$AX$18,BD21,IF($BE$44=$BE$18,BK21,IF($BE$44=$BL$18,BR21,IF($BE$44=$BS$18,BY21,IF($BE$44=$BZ$18,CF21,IF($BE$44=$CG$18,CM21,IF($BE$44=$CN$18,CT21,DA21))))))))))))</f>
        <v>0</v>
      </c>
      <c r="BL33" s="88">
        <f t="shared" ref="BL33:BL40" ca="1" si="62">IF($BL$44=$O$18,O21,IF($BL$44=$V$18,V21,IF($BL$44=$AC$18,AC21,IF($BL$44=$AJ$18,AJ21,IF($BL$44=$AQ$18,AQ21,IF($BL$44=$AX$18,AX21,IF($BL$44=$BE$18,BE21,IF($BL$44=$BL$18,BL21,IF($BL$44=$BS$18,BS21,IF($BL$44=$BZ$18,BZ21,IF($BL$44=$CG$18,CG21,IF($BL$44=$CN$18,CN21,CU21))))))))))))</f>
        <v>0</v>
      </c>
      <c r="BM33" s="26">
        <f t="shared" ref="BM33:BM40" ca="1" si="63">IF($BL$44=$O$18,P21,IF($BL$44=$V$18,W21,IF($BL$44=$AC$18,AD21,IF($BL$44=$AJ$18,AK21,IF($BL$44=$AQ$18,AR21,IF($BL$44=$AX$18,AY21,IF($BL$44=$BE$18,BF21,IF($BL$44=$BL$18,BM21,IF($BL$44=$BS$18,BT21,IF($BL$44=$BZ$18,CA21,IF($BL$44=$CG$18,CH21,IF($BL$44=$CN$18,CO21,CV21))))))))))))</f>
        <v>1</v>
      </c>
      <c r="BN33" s="26">
        <f t="shared" ref="BN33:BN40" ca="1" si="64">IF($BL$44=$O$18,Q21,IF($BL$44=$V$18,X21,IF($BL$44=$AC$18,AE21,IF($BL$44=$AJ$18,AL21,IF($BL$44=$AQ$18,AS21,IF($BL$44=$AX$18,AZ21,IF($BL$44=$BE$18,BG21,IF($BL$44=$BL$18,BN21,IF($BL$44=$BS$18,BU21,IF($BL$44=$BZ$18,CB21,IF($BL$44=$CG$18,CI21,IF($BL$44=$CN$18,CP21,CW21))))))))))))</f>
        <v>0</v>
      </c>
      <c r="BO33" s="26">
        <f t="shared" ref="BO33:BO40" ca="1" si="65">IF($BL$44=$O$18,R21,IF($BL$44=$V$18,Y21,IF($BL$44=$AC$18,AF21,IF($BL$44=$AJ$18,AM21,IF($BL$44=$AQ$18,AT21,IF($BL$44=$AX$18,BA21,IF($BL$44=$BE$18,BH21,IF($BL$44=$BL$18,BO21,IF($BL$44=$BS$18,BV21,IF($BL$44=$BZ$18,CC21,IF($BL$44=$CG$18,CJ21,IF($BL$44=$CN$18,CQ21,CX21))))))))))))</f>
        <v>0</v>
      </c>
      <c r="BP33" s="26">
        <f t="shared" ref="BP33:BP40" ca="1" si="66">IF($BL$44=$O$18,S21,IF($BL$44=$V$18,Z21,IF($BL$44=$AC$18,AG21,IF($BL$44=$AJ$18,AN21,IF($BL$44=$AQ$18,AU21,IF($BL$44=$AX$18,BB21,IF($BL$44=$BE$18,BI21,IF($BL$44=$BL$18,BP21,IF($BL$44=$BS$18,BW21,IF($BL$44=$BZ$18,CD21,IF($BL$44=$CG$18,CK21,IF($BL$44=$CN$18,CR21,CY21))))))))))))</f>
        <v>0</v>
      </c>
      <c r="BQ33" s="26">
        <f t="shared" ref="BQ33:BQ40" ca="1" si="67">IF($BL$44=$O$18,T21,IF($BL$44=$V$18,AA21,IF($BL$44=$AC$18,AH21,IF($BL$44=$AJ$18,AO21,IF($BL$44=$AQ$18,AV21,IF($BL$44=$AX$18,BC21,IF($BL$44=$BE$18,BJ21,IF($BL$44=$BL$18,BQ21,IF($BL$44=$BS$18,BX21,IF($BL$44=$BZ$18,CE21,IF($BL$44=$CG$18,CL21,IF($BL$44=$CN$18,CS21,CZ21))))))))))))</f>
        <v>0</v>
      </c>
      <c r="BR33" s="26">
        <f t="shared" ref="BR33:BR40" ca="1" si="68">IF($BL$44=$O$18,U21,IF($BL$44=$V$18,AB21,IF($BL$44=$AC$18,AI21,IF($BL$44=$AJ$18,AP21,IF($BL$44=$AQ$18,AW21,IF($BL$44=$AX$18,BD21,IF($BL$44=$BE$18,BK21,IF($BL$44=$BL$18,BR21,IF($BL$44=$BS$18,BY21,IF($BL$44=$BZ$18,CF21,IF($BL$44=$CG$18,CM21,IF($BL$44=$CN$18,CT21,DA21))))))))))))</f>
        <v>0</v>
      </c>
      <c r="BS33" s="88">
        <f t="shared" ref="BS33:BS40" ca="1" si="69">IF($BS$44=$O$18,O21,IF($BS$44=$V$18,V21,IF($BS$44=$AC$18,AC21,IF($BS$44=$AJ$18,AJ21,IF($BS$44=$AQ$18,AQ21,IF($BS$44=$AX$18,AX21,IF($BS$44=$BE$18,BE21,IF($BS$44=$BL$18,BL21,IF($BS$44=$BS$18,BS21,IF($BS$44=$BZ$18,BZ21,IF($BS$44=$CG$18,CG21,IF($BS$44=$CN$18,CN21,CU21))))))))))))</f>
        <v>0</v>
      </c>
      <c r="BT33" s="26">
        <f t="shared" ref="BT33:BT40" ca="1" si="70">IF($BS$44=$O$18,P21,IF($BS$44=$V$18,W21,IF($BS$44=$AC$18,AD21,IF($BS$44=$AJ$18,AK21,IF($BS$44=$AQ$18,AR21,IF($BS$44=$AX$18,AY21,IF($BS$44=$BE$18,BF21,IF($BS$44=$BL$18,BM21,IF($BS$44=$BS$18,BT21,IF($BS$44=$BZ$18,CA21,IF($BS$44=$CG$18,CH21,IF($BS$44=$CN$18,CO21,CV21))))))))))))</f>
        <v>0</v>
      </c>
      <c r="BU33" s="26">
        <f t="shared" ref="BU33:BU40" ca="1" si="71">IF($BS$44=$O$18,Q21,IF($BS$44=$V$18,X21,IF($BS$44=$AC$18,AE21,IF($BS$44=$AJ$18,AL21,IF($BS$44=$AQ$18,AS21,IF($BS$44=$AX$18,AZ21,IF($BS$44=$BE$18,BG21,IF($BS$44=$BL$18,BN21,IF($BS$44=$BS$18,BU21,IF($BS$44=$BZ$18,CB21,IF($BS$44=$CG$18,CI21,IF($BS$44=$CN$18,CP21,CW21))))))))))))</f>
        <v>0</v>
      </c>
      <c r="BV33" s="26">
        <f t="shared" ref="BV33:BV40" ca="1" si="72">IF($BS$44=$O$18,R21,IF($BS$44=$V$18,Y21,IF($BS$44=$AC$18,AF21,IF($BS$44=$AJ$18,AM21,IF($BS$44=$AQ$18,AT21,IF($BS$44=$AX$18,BA21,IF($BS$44=$BE$18,BH21,IF($BS$44=$BL$18,BO21,IF($BS$44=$BS$18,BV21,IF($BS$44=$BZ$18,CC21,IF($BS$44=$CG$18,CJ21,IF($BS$44=$CN$18,CQ21,CX21))))))))))))</f>
        <v>0</v>
      </c>
      <c r="BW33" s="26">
        <f t="shared" ref="BW33:BW40" ca="1" si="73">IF($BS$44=$O$18,S21,IF($BS$44=$V$18,Z21,IF($BS$44=$AC$18,AG21,IF($BS$44=$AJ$18,AN21,IF($BS$44=$AQ$18,AU21,IF($BS$44=$AX$18,BB21,IF($BS$44=$BE$18,BI21,IF($BS$44=$BL$18,BP21,IF($BS$44=$BS$18,BW21,IF($BS$44=$BZ$18,CD21,IF($BS$44=$CG$18,CK21,IF($BS$44=$CN$18,CR21,CY21))))))))))))</f>
        <v>0</v>
      </c>
      <c r="BX33" s="26">
        <f t="shared" ref="BX33:BX40" ca="1" si="74">IF($BS$44=$O$18,T21,IF($BS$44=$V$18,AA21,IF($BS$44=$AC$18,AH21,IF($BS$44=$AJ$18,AO21,IF($BS$44=$AQ$18,AV21,IF($BS$44=$AX$18,BC21,IF($BS$44=$BE$18,BJ21,IF($BS$44=$BL$18,BQ21,IF($BS$44=$BS$18,BX21,IF($BS$44=$BZ$18,CE21,IF($BS$44=$CG$18,CL21,IF($BS$44=$CN$18,CS21,CZ21))))))))))))</f>
        <v>1</v>
      </c>
      <c r="BY33" s="26">
        <f t="shared" ref="BY33:BY40" ca="1" si="75">IF($BS$44=$O$18,U21,IF($BS$44=$V$18,AB21,IF($BS$44=$AC$18,AI21,IF($BS$44=$AJ$18,AP21,IF($BS$44=$AQ$18,AW21,IF($BS$44=$AX$18,BD21,IF($BS$44=$BE$18,BK21,IF($BS$44=$BL$18,BR21,IF($BS$44=$BS$18,BY21,IF($BS$44=$BZ$18,CF21,IF($BS$44=$CG$18,CM21,IF($BS$44=$CN$18,CT21,DA21))))))))))))</f>
        <v>0</v>
      </c>
      <c r="BZ33" s="88">
        <f t="shared" ref="BZ33:BZ40" ca="1" si="76">IF($BZ$44=$O$18,O21,IF($BZ$44=$V$18,V21,IF($BZ$44=$AC$18,AC21,IF($BZ$44=$AJ$18,AJ21,IF($BZ$44=$AQ$18,AQ21,IF($BZ$44=$AX$18,AX21,IF($BZ$44=$BE$18,BE21,IF($BZ$44=$BL$18,BL21,IF($BZ$44=$BS$18,BS21,IF($BZ$44=$BZ$18,BZ21,IF($BZ$44=$CG$18,CG21,IF($BZ$44=$CN$18,CN21,CU21))))))))))))</f>
        <v>0</v>
      </c>
      <c r="CA33" s="26">
        <f t="shared" ref="CA33:CA40" ca="1" si="77">IF($BZ$44=$O$18,P21,IF($BZ$44=$V$18,W21,IF($BZ$44=$AC$18,AD21,IF($BZ$44=$AJ$18,AK21,IF($BZ$44=$AQ$18,AR21,IF($BZ$44=$AX$18,AY21,IF($BZ$44=$BE$18,BF21,IF($BZ$44=$BL$18,BM21,IF($BZ$44=$BS$18,BT21,IF($BZ$44=$BZ$18,CA21,IF($BZ$44=$CG$18,CH21,IF($BZ$44=$CN$18,CO21,CV21))))))))))))</f>
        <v>1</v>
      </c>
      <c r="CB33" s="26">
        <f t="shared" ref="CB33:CB40" ca="1" si="78">IF($BZ$44=$O$18,Q21,IF($BZ$44=$V$18,X21,IF($BZ$44=$AC$18,AE21,IF($BZ$44=$AJ$18,AL21,IF($BZ$44=$AQ$18,AS21,IF($BZ$44=$AX$18,AZ21,IF($BZ$44=$BE$18,BG21,IF($BZ$44=$BL$18,BN21,IF($BZ$44=$BS$18,BU21,IF($BZ$44=$BZ$18,CB21,IF($BZ$44=$CG$18,CI21,IF($BZ$44=$CN$18,CP21,CW21))))))))))))</f>
        <v>0</v>
      </c>
      <c r="CC33" s="26">
        <f t="shared" ref="CC33:CC40" ca="1" si="79">IF($BZ$44=$O$18,R21,IF($BZ$44=$V$18,Y21,IF($BZ$44=$AC$18,AF21,IF($BZ$44=$AJ$18,AM21,IF($BZ$44=$AQ$18,AT21,IF($BZ$44=$AX$18,BA21,IF($BZ$44=$BE$18,BH21,IF($BZ$44=$BL$18,BO21,IF($BZ$44=$BS$18,BV21,IF($BZ$44=$BZ$18,CC21,IF($BZ$44=$CG$18,CJ21,IF($BZ$44=$CN$18,CQ21,CX21))))))))))))</f>
        <v>0</v>
      </c>
      <c r="CD33" s="26">
        <f t="shared" ref="CD33:CD40" ca="1" si="80">IF($BZ$44=$O$18,S21,IF($BZ$44=$V$18,Z21,IF($BZ$44=$AC$18,AG21,IF($BZ$44=$AJ$18,AN21,IF($BZ$44=$AQ$18,AU21,IF($BZ$44=$AX$18,BB21,IF($BZ$44=$BE$18,BI21,IF($BZ$44=$BL$18,BP21,IF($BZ$44=$BS$18,BW21,IF($BZ$44=$BZ$18,CD21,IF($BZ$44=$CG$18,CK21,IF($BZ$44=$CN$18,CR21,CY21))))))))))))</f>
        <v>0</v>
      </c>
      <c r="CE33" s="26">
        <f t="shared" ref="CE33:CE40" ca="1" si="81">IF($BZ$44=$O$18,T21,IF($BZ$44=$V$18,AA21,IF($BZ$44=$AC$18,AH21,IF($BZ$44=$AJ$18,AO21,IF($BZ$44=$AQ$18,AV21,IF($BZ$44=$AX$18,BC21,IF($BZ$44=$BE$18,BJ21,IF($BZ$44=$BL$18,BQ21,IF($BZ$44=$BS$18,BX21,IF($BZ$44=$BZ$18,CE21,IF($BZ$44=$CG$18,CL21,IF($BZ$44=$CN$18,CS21,CZ21))))))))))))</f>
        <v>0</v>
      </c>
      <c r="CF33" s="86">
        <f t="shared" ref="CF33:CF40" ca="1" si="82">IF($BZ$44=$O$18,U21,IF($BZ$44=$V$18,AB21,IF($BZ$44=$AC$18,AI21,IF($BZ$44=$AJ$18,AP21,IF($BZ$44=$AQ$18,AW21,IF($BZ$44=$AX$18,BD21,IF($BZ$44=$BE$18,BK21,IF($BZ$44=$BL$18,BR21,IF($BZ$44=$BS$18,BY21,IF($BZ$44=$BZ$18,CF21,IF($BZ$44=$CG$18,CM21,IF($BZ$44=$CN$18,CT21,DA21))))))))))))</f>
        <v>0</v>
      </c>
    </row>
    <row r="34" spans="14:84" s="82" customFormat="1" ht="24.95" customHeight="1" x14ac:dyDescent="0.25">
      <c r="N34" s="82">
        <f t="shared" si="12"/>
        <v>3</v>
      </c>
      <c r="O34" s="88">
        <f t="shared" ca="1" si="13"/>
        <v>0</v>
      </c>
      <c r="P34" s="26">
        <f t="shared" ca="1" si="14"/>
        <v>1</v>
      </c>
      <c r="Q34" s="26">
        <f t="shared" ca="1" si="15"/>
        <v>0</v>
      </c>
      <c r="R34" s="26">
        <f t="shared" ca="1" si="16"/>
        <v>0</v>
      </c>
      <c r="S34" s="26">
        <f t="shared" ca="1" si="17"/>
        <v>0</v>
      </c>
      <c r="T34" s="26">
        <f t="shared" ca="1" si="18"/>
        <v>1</v>
      </c>
      <c r="U34" s="26">
        <f t="shared" ca="1" si="19"/>
        <v>0</v>
      </c>
      <c r="V34" s="88">
        <f t="shared" ca="1" si="20"/>
        <v>0</v>
      </c>
      <c r="W34" s="26">
        <f t="shared" ca="1" si="21"/>
        <v>0</v>
      </c>
      <c r="X34" s="26">
        <f t="shared" ca="1" si="22"/>
        <v>0</v>
      </c>
      <c r="Y34" s="26">
        <f t="shared" ca="1" si="23"/>
        <v>0</v>
      </c>
      <c r="Z34" s="26">
        <f t="shared" ca="1" si="24"/>
        <v>0</v>
      </c>
      <c r="AA34" s="26">
        <f t="shared" ca="1" si="25"/>
        <v>1</v>
      </c>
      <c r="AB34" s="26">
        <f t="shared" ca="1" si="26"/>
        <v>0</v>
      </c>
      <c r="AC34" s="88">
        <f t="shared" ca="1" si="27"/>
        <v>0</v>
      </c>
      <c r="AD34" s="26">
        <f t="shared" ca="1" si="28"/>
        <v>0</v>
      </c>
      <c r="AE34" s="26">
        <f t="shared" ca="1" si="29"/>
        <v>0</v>
      </c>
      <c r="AF34" s="26">
        <f t="shared" ca="1" si="30"/>
        <v>0</v>
      </c>
      <c r="AG34" s="26">
        <f t="shared" ca="1" si="31"/>
        <v>0</v>
      </c>
      <c r="AH34" s="26">
        <f t="shared" ca="1" si="32"/>
        <v>1</v>
      </c>
      <c r="AI34" s="26">
        <f t="shared" ca="1" si="33"/>
        <v>0</v>
      </c>
      <c r="AJ34" s="88">
        <f t="shared" ca="1" si="34"/>
        <v>0</v>
      </c>
      <c r="AK34" s="26">
        <f t="shared" ca="1" si="35"/>
        <v>1</v>
      </c>
      <c r="AL34" s="26">
        <f t="shared" ca="1" si="36"/>
        <v>0</v>
      </c>
      <c r="AM34" s="26">
        <f t="shared" ca="1" si="37"/>
        <v>0</v>
      </c>
      <c r="AN34" s="26">
        <f t="shared" ca="1" si="38"/>
        <v>0</v>
      </c>
      <c r="AO34" s="26">
        <f t="shared" ca="1" si="39"/>
        <v>1</v>
      </c>
      <c r="AP34" s="26">
        <f t="shared" ca="1" si="40"/>
        <v>0</v>
      </c>
      <c r="AQ34" s="88">
        <f t="shared" ca="1" si="41"/>
        <v>0</v>
      </c>
      <c r="AR34" s="26">
        <f t="shared" ca="1" si="42"/>
        <v>1</v>
      </c>
      <c r="AS34" s="26">
        <f t="shared" ca="1" si="43"/>
        <v>0</v>
      </c>
      <c r="AT34" s="26">
        <f t="shared" ca="1" si="44"/>
        <v>0</v>
      </c>
      <c r="AU34" s="26">
        <f t="shared" ca="1" si="45"/>
        <v>0</v>
      </c>
      <c r="AV34" s="26">
        <f t="shared" ca="1" si="46"/>
        <v>1</v>
      </c>
      <c r="AW34" s="26">
        <f t="shared" ca="1" si="47"/>
        <v>0</v>
      </c>
      <c r="AX34" s="88">
        <f t="shared" ca="1" si="48"/>
        <v>0</v>
      </c>
      <c r="AY34" s="26">
        <f t="shared" ca="1" si="49"/>
        <v>1</v>
      </c>
      <c r="AZ34" s="26">
        <f t="shared" ca="1" si="50"/>
        <v>0</v>
      </c>
      <c r="BA34" s="26">
        <f t="shared" ca="1" si="51"/>
        <v>0</v>
      </c>
      <c r="BB34" s="26">
        <f t="shared" ca="1" si="52"/>
        <v>0</v>
      </c>
      <c r="BC34" s="26">
        <f t="shared" ca="1" si="53"/>
        <v>1</v>
      </c>
      <c r="BD34" s="26">
        <f t="shared" ca="1" si="54"/>
        <v>0</v>
      </c>
      <c r="BE34" s="88">
        <f t="shared" ca="1" si="55"/>
        <v>0</v>
      </c>
      <c r="BF34" s="26">
        <f t="shared" ca="1" si="56"/>
        <v>1</v>
      </c>
      <c r="BG34" s="26">
        <f t="shared" ca="1" si="57"/>
        <v>0</v>
      </c>
      <c r="BH34" s="26">
        <f t="shared" ca="1" si="58"/>
        <v>0</v>
      </c>
      <c r="BI34" s="26">
        <f t="shared" ca="1" si="59"/>
        <v>0</v>
      </c>
      <c r="BJ34" s="26">
        <f t="shared" ca="1" si="60"/>
        <v>0</v>
      </c>
      <c r="BK34" s="26">
        <f t="shared" ca="1" si="61"/>
        <v>0</v>
      </c>
      <c r="BL34" s="88">
        <f t="shared" ca="1" si="62"/>
        <v>0</v>
      </c>
      <c r="BM34" s="26">
        <f t="shared" ca="1" si="63"/>
        <v>1</v>
      </c>
      <c r="BN34" s="26">
        <f t="shared" ca="1" si="64"/>
        <v>0</v>
      </c>
      <c r="BO34" s="26">
        <f t="shared" ca="1" si="65"/>
        <v>0</v>
      </c>
      <c r="BP34" s="26">
        <f t="shared" ca="1" si="66"/>
        <v>0</v>
      </c>
      <c r="BQ34" s="26">
        <f t="shared" ca="1" si="67"/>
        <v>0</v>
      </c>
      <c r="BR34" s="26">
        <f t="shared" ca="1" si="68"/>
        <v>0</v>
      </c>
      <c r="BS34" s="88">
        <f t="shared" ca="1" si="69"/>
        <v>0</v>
      </c>
      <c r="BT34" s="26">
        <f t="shared" ca="1" si="70"/>
        <v>0</v>
      </c>
      <c r="BU34" s="26">
        <f t="shared" ca="1" si="71"/>
        <v>0</v>
      </c>
      <c r="BV34" s="26">
        <f t="shared" ca="1" si="72"/>
        <v>0</v>
      </c>
      <c r="BW34" s="26">
        <f t="shared" ca="1" si="73"/>
        <v>0</v>
      </c>
      <c r="BX34" s="26">
        <f t="shared" ca="1" si="74"/>
        <v>1</v>
      </c>
      <c r="BY34" s="26">
        <f t="shared" ca="1" si="75"/>
        <v>0</v>
      </c>
      <c r="BZ34" s="88">
        <f t="shared" ca="1" si="76"/>
        <v>0</v>
      </c>
      <c r="CA34" s="26">
        <f t="shared" ca="1" si="77"/>
        <v>1</v>
      </c>
      <c r="CB34" s="26">
        <f t="shared" ca="1" si="78"/>
        <v>0</v>
      </c>
      <c r="CC34" s="26">
        <f t="shared" ca="1" si="79"/>
        <v>0</v>
      </c>
      <c r="CD34" s="26">
        <f t="shared" ca="1" si="80"/>
        <v>0</v>
      </c>
      <c r="CE34" s="26">
        <f t="shared" ca="1" si="81"/>
        <v>0</v>
      </c>
      <c r="CF34" s="86">
        <f t="shared" ca="1" si="82"/>
        <v>0</v>
      </c>
    </row>
    <row r="35" spans="14:84" s="82" customFormat="1" ht="24.95" customHeight="1" x14ac:dyDescent="0.25">
      <c r="N35" s="82">
        <f t="shared" si="12"/>
        <v>4</v>
      </c>
      <c r="O35" s="88">
        <f t="shared" ca="1" si="13"/>
        <v>0</v>
      </c>
      <c r="P35" s="26">
        <f t="shared" ca="1" si="14"/>
        <v>1</v>
      </c>
      <c r="Q35" s="26">
        <f t="shared" ca="1" si="15"/>
        <v>0</v>
      </c>
      <c r="R35" s="26">
        <f t="shared" ca="1" si="16"/>
        <v>0</v>
      </c>
      <c r="S35" s="26">
        <f t="shared" ca="1" si="17"/>
        <v>0</v>
      </c>
      <c r="T35" s="26">
        <f t="shared" ca="1" si="18"/>
        <v>1</v>
      </c>
      <c r="U35" s="26">
        <f t="shared" ca="1" si="19"/>
        <v>0</v>
      </c>
      <c r="V35" s="88">
        <f t="shared" ca="1" si="20"/>
        <v>0</v>
      </c>
      <c r="W35" s="26">
        <f t="shared" ca="1" si="21"/>
        <v>0</v>
      </c>
      <c r="X35" s="26">
        <f t="shared" ca="1" si="22"/>
        <v>0</v>
      </c>
      <c r="Y35" s="26">
        <f t="shared" ca="1" si="23"/>
        <v>0</v>
      </c>
      <c r="Z35" s="26">
        <f t="shared" ca="1" si="24"/>
        <v>0</v>
      </c>
      <c r="AA35" s="26">
        <f t="shared" ca="1" si="25"/>
        <v>1</v>
      </c>
      <c r="AB35" s="26">
        <f t="shared" ca="1" si="26"/>
        <v>0</v>
      </c>
      <c r="AC35" s="88">
        <f t="shared" ca="1" si="27"/>
        <v>0</v>
      </c>
      <c r="AD35" s="26">
        <f t="shared" ca="1" si="28"/>
        <v>0</v>
      </c>
      <c r="AE35" s="26">
        <f t="shared" ca="1" si="29"/>
        <v>0</v>
      </c>
      <c r="AF35" s="26">
        <f t="shared" ca="1" si="30"/>
        <v>0</v>
      </c>
      <c r="AG35" s="26">
        <f t="shared" ca="1" si="31"/>
        <v>0</v>
      </c>
      <c r="AH35" s="26">
        <f t="shared" ca="1" si="32"/>
        <v>1</v>
      </c>
      <c r="AI35" s="26">
        <f t="shared" ca="1" si="33"/>
        <v>0</v>
      </c>
      <c r="AJ35" s="88">
        <f t="shared" ca="1" si="34"/>
        <v>0</v>
      </c>
      <c r="AK35" s="26">
        <f t="shared" ca="1" si="35"/>
        <v>1</v>
      </c>
      <c r="AL35" s="26">
        <f t="shared" ca="1" si="36"/>
        <v>0</v>
      </c>
      <c r="AM35" s="26">
        <f t="shared" ca="1" si="37"/>
        <v>0</v>
      </c>
      <c r="AN35" s="26">
        <f t="shared" ca="1" si="38"/>
        <v>0</v>
      </c>
      <c r="AO35" s="26">
        <f t="shared" ca="1" si="39"/>
        <v>1</v>
      </c>
      <c r="AP35" s="26">
        <f t="shared" ca="1" si="40"/>
        <v>0</v>
      </c>
      <c r="AQ35" s="88">
        <f t="shared" ca="1" si="41"/>
        <v>0</v>
      </c>
      <c r="AR35" s="26">
        <f t="shared" ca="1" si="42"/>
        <v>1</v>
      </c>
      <c r="AS35" s="26">
        <f t="shared" ca="1" si="43"/>
        <v>0</v>
      </c>
      <c r="AT35" s="26">
        <f t="shared" ca="1" si="44"/>
        <v>0</v>
      </c>
      <c r="AU35" s="26">
        <f t="shared" ca="1" si="45"/>
        <v>0</v>
      </c>
      <c r="AV35" s="26">
        <f t="shared" ca="1" si="46"/>
        <v>1</v>
      </c>
      <c r="AW35" s="26">
        <f t="shared" ca="1" si="47"/>
        <v>0</v>
      </c>
      <c r="AX35" s="88">
        <f t="shared" ca="1" si="48"/>
        <v>0</v>
      </c>
      <c r="AY35" s="26">
        <f t="shared" ca="1" si="49"/>
        <v>1</v>
      </c>
      <c r="AZ35" s="26">
        <f t="shared" ca="1" si="50"/>
        <v>0</v>
      </c>
      <c r="BA35" s="26">
        <f t="shared" ca="1" si="51"/>
        <v>0</v>
      </c>
      <c r="BB35" s="26">
        <f t="shared" ca="1" si="52"/>
        <v>0</v>
      </c>
      <c r="BC35" s="26">
        <f t="shared" ca="1" si="53"/>
        <v>1</v>
      </c>
      <c r="BD35" s="26">
        <f t="shared" ca="1" si="54"/>
        <v>0</v>
      </c>
      <c r="BE35" s="88">
        <f t="shared" ca="1" si="55"/>
        <v>0</v>
      </c>
      <c r="BF35" s="26">
        <f t="shared" ca="1" si="56"/>
        <v>1</v>
      </c>
      <c r="BG35" s="26">
        <f t="shared" ca="1" si="57"/>
        <v>0</v>
      </c>
      <c r="BH35" s="26">
        <f t="shared" ca="1" si="58"/>
        <v>0</v>
      </c>
      <c r="BI35" s="26">
        <f t="shared" ca="1" si="59"/>
        <v>0</v>
      </c>
      <c r="BJ35" s="26">
        <f t="shared" ca="1" si="60"/>
        <v>0</v>
      </c>
      <c r="BK35" s="26">
        <f t="shared" ca="1" si="61"/>
        <v>0</v>
      </c>
      <c r="BL35" s="88">
        <f t="shared" ca="1" si="62"/>
        <v>0</v>
      </c>
      <c r="BM35" s="26">
        <f t="shared" ca="1" si="63"/>
        <v>1</v>
      </c>
      <c r="BN35" s="26">
        <f t="shared" ca="1" si="64"/>
        <v>0</v>
      </c>
      <c r="BO35" s="26">
        <f t="shared" ca="1" si="65"/>
        <v>0</v>
      </c>
      <c r="BP35" s="26">
        <f t="shared" ca="1" si="66"/>
        <v>0</v>
      </c>
      <c r="BQ35" s="26">
        <f t="shared" ca="1" si="67"/>
        <v>0</v>
      </c>
      <c r="BR35" s="26">
        <f t="shared" ca="1" si="68"/>
        <v>0</v>
      </c>
      <c r="BS35" s="88">
        <f t="shared" ca="1" si="69"/>
        <v>0</v>
      </c>
      <c r="BT35" s="26">
        <f t="shared" ca="1" si="70"/>
        <v>0</v>
      </c>
      <c r="BU35" s="26">
        <f t="shared" ca="1" si="71"/>
        <v>0</v>
      </c>
      <c r="BV35" s="26">
        <f t="shared" ca="1" si="72"/>
        <v>0</v>
      </c>
      <c r="BW35" s="26">
        <f t="shared" ca="1" si="73"/>
        <v>0</v>
      </c>
      <c r="BX35" s="26">
        <f t="shared" ca="1" si="74"/>
        <v>1</v>
      </c>
      <c r="BY35" s="26">
        <f t="shared" ca="1" si="75"/>
        <v>0</v>
      </c>
      <c r="BZ35" s="88">
        <f t="shared" ca="1" si="76"/>
        <v>0</v>
      </c>
      <c r="CA35" s="26">
        <f t="shared" ca="1" si="77"/>
        <v>1</v>
      </c>
      <c r="CB35" s="26">
        <f t="shared" ca="1" si="78"/>
        <v>0</v>
      </c>
      <c r="CC35" s="26">
        <f t="shared" ca="1" si="79"/>
        <v>0</v>
      </c>
      <c r="CD35" s="26">
        <f t="shared" ca="1" si="80"/>
        <v>0</v>
      </c>
      <c r="CE35" s="26">
        <f t="shared" ca="1" si="81"/>
        <v>0</v>
      </c>
      <c r="CF35" s="86">
        <f t="shared" ca="1" si="82"/>
        <v>0</v>
      </c>
    </row>
    <row r="36" spans="14:84" s="82" customFormat="1" ht="24.95" customHeight="1" x14ac:dyDescent="0.25">
      <c r="N36" s="82">
        <f t="shared" si="12"/>
        <v>5</v>
      </c>
      <c r="O36" s="88">
        <f t="shared" ca="1" si="13"/>
        <v>0</v>
      </c>
      <c r="P36" s="26">
        <f t="shared" ca="1" si="14"/>
        <v>0</v>
      </c>
      <c r="Q36" s="26">
        <f t="shared" ca="1" si="15"/>
        <v>1</v>
      </c>
      <c r="R36" s="26">
        <f t="shared" ca="1" si="16"/>
        <v>1</v>
      </c>
      <c r="S36" s="26">
        <f t="shared" ca="1" si="17"/>
        <v>1</v>
      </c>
      <c r="T36" s="26">
        <f t="shared" ca="1" si="18"/>
        <v>0</v>
      </c>
      <c r="U36" s="26">
        <f t="shared" ca="1" si="19"/>
        <v>0</v>
      </c>
      <c r="V36" s="88">
        <f t="shared" ca="1" si="20"/>
        <v>0</v>
      </c>
      <c r="W36" s="26">
        <f t="shared" ca="1" si="21"/>
        <v>0</v>
      </c>
      <c r="X36" s="26">
        <f t="shared" ca="1" si="22"/>
        <v>0</v>
      </c>
      <c r="Y36" s="26">
        <f t="shared" ca="1" si="23"/>
        <v>0</v>
      </c>
      <c r="Z36" s="26">
        <f t="shared" ca="1" si="24"/>
        <v>0</v>
      </c>
      <c r="AA36" s="26">
        <f t="shared" ca="1" si="25"/>
        <v>0</v>
      </c>
      <c r="AB36" s="26">
        <f t="shared" ca="1" si="26"/>
        <v>0</v>
      </c>
      <c r="AC36" s="88">
        <f t="shared" ca="1" si="27"/>
        <v>0</v>
      </c>
      <c r="AD36" s="26">
        <f t="shared" ca="1" si="28"/>
        <v>0</v>
      </c>
      <c r="AE36" s="26">
        <f t="shared" ca="1" si="29"/>
        <v>0</v>
      </c>
      <c r="AF36" s="26">
        <f t="shared" ca="1" si="30"/>
        <v>0</v>
      </c>
      <c r="AG36" s="26">
        <f t="shared" ca="1" si="31"/>
        <v>0</v>
      </c>
      <c r="AH36" s="26">
        <f t="shared" ca="1" si="32"/>
        <v>0</v>
      </c>
      <c r="AI36" s="26">
        <f t="shared" ca="1" si="33"/>
        <v>0</v>
      </c>
      <c r="AJ36" s="88">
        <f t="shared" ca="1" si="34"/>
        <v>0</v>
      </c>
      <c r="AK36" s="26">
        <f t="shared" ca="1" si="35"/>
        <v>0</v>
      </c>
      <c r="AL36" s="26">
        <f t="shared" ca="1" si="36"/>
        <v>1</v>
      </c>
      <c r="AM36" s="26">
        <f t="shared" ca="1" si="37"/>
        <v>1</v>
      </c>
      <c r="AN36" s="26">
        <f t="shared" ca="1" si="38"/>
        <v>1</v>
      </c>
      <c r="AO36" s="26">
        <f t="shared" ca="1" si="39"/>
        <v>0</v>
      </c>
      <c r="AP36" s="26">
        <f t="shared" ca="1" si="40"/>
        <v>0</v>
      </c>
      <c r="AQ36" s="88">
        <f t="shared" ca="1" si="41"/>
        <v>0</v>
      </c>
      <c r="AR36" s="26">
        <f t="shared" ca="1" si="42"/>
        <v>0</v>
      </c>
      <c r="AS36" s="26">
        <f t="shared" ca="1" si="43"/>
        <v>1</v>
      </c>
      <c r="AT36" s="26">
        <f t="shared" ca="1" si="44"/>
        <v>1</v>
      </c>
      <c r="AU36" s="26">
        <f t="shared" ca="1" si="45"/>
        <v>1</v>
      </c>
      <c r="AV36" s="26">
        <f t="shared" ca="1" si="46"/>
        <v>0</v>
      </c>
      <c r="AW36" s="26">
        <f t="shared" ca="1" si="47"/>
        <v>0</v>
      </c>
      <c r="AX36" s="88">
        <f t="shared" ca="1" si="48"/>
        <v>0</v>
      </c>
      <c r="AY36" s="26">
        <f t="shared" ca="1" si="49"/>
        <v>0</v>
      </c>
      <c r="AZ36" s="26">
        <f t="shared" ca="1" si="50"/>
        <v>0</v>
      </c>
      <c r="BA36" s="26">
        <f t="shared" ca="1" si="51"/>
        <v>0</v>
      </c>
      <c r="BB36" s="26">
        <f t="shared" ca="1" si="52"/>
        <v>0</v>
      </c>
      <c r="BC36" s="26">
        <f t="shared" ca="1" si="53"/>
        <v>0</v>
      </c>
      <c r="BD36" s="26">
        <f t="shared" ca="1" si="54"/>
        <v>0</v>
      </c>
      <c r="BE36" s="88">
        <f t="shared" ca="1" si="55"/>
        <v>0</v>
      </c>
      <c r="BF36" s="26">
        <f t="shared" ca="1" si="56"/>
        <v>0</v>
      </c>
      <c r="BG36" s="26">
        <f t="shared" ca="1" si="57"/>
        <v>1</v>
      </c>
      <c r="BH36" s="26">
        <f t="shared" ca="1" si="58"/>
        <v>1</v>
      </c>
      <c r="BI36" s="26">
        <f t="shared" ca="1" si="59"/>
        <v>1</v>
      </c>
      <c r="BJ36" s="26">
        <f t="shared" ca="1" si="60"/>
        <v>0</v>
      </c>
      <c r="BK36" s="26">
        <f t="shared" ca="1" si="61"/>
        <v>0</v>
      </c>
      <c r="BL36" s="88">
        <f t="shared" ca="1" si="62"/>
        <v>0</v>
      </c>
      <c r="BM36" s="26">
        <f t="shared" ca="1" si="63"/>
        <v>0</v>
      </c>
      <c r="BN36" s="26">
        <f t="shared" ca="1" si="64"/>
        <v>1</v>
      </c>
      <c r="BO36" s="26">
        <f t="shared" ca="1" si="65"/>
        <v>1</v>
      </c>
      <c r="BP36" s="26">
        <f t="shared" ca="1" si="66"/>
        <v>1</v>
      </c>
      <c r="BQ36" s="26">
        <f t="shared" ca="1" si="67"/>
        <v>0</v>
      </c>
      <c r="BR36" s="26">
        <f t="shared" ca="1" si="68"/>
        <v>0</v>
      </c>
      <c r="BS36" s="88">
        <f t="shared" ca="1" si="69"/>
        <v>0</v>
      </c>
      <c r="BT36" s="26">
        <f t="shared" ca="1" si="70"/>
        <v>0</v>
      </c>
      <c r="BU36" s="26">
        <f t="shared" ca="1" si="71"/>
        <v>0</v>
      </c>
      <c r="BV36" s="26">
        <f t="shared" ca="1" si="72"/>
        <v>0</v>
      </c>
      <c r="BW36" s="26">
        <f t="shared" ca="1" si="73"/>
        <v>0</v>
      </c>
      <c r="BX36" s="26">
        <f t="shared" ca="1" si="74"/>
        <v>0</v>
      </c>
      <c r="BY36" s="26">
        <f t="shared" ca="1" si="75"/>
        <v>0</v>
      </c>
      <c r="BZ36" s="88">
        <f t="shared" ca="1" si="76"/>
        <v>0</v>
      </c>
      <c r="CA36" s="26">
        <f t="shared" ca="1" si="77"/>
        <v>0</v>
      </c>
      <c r="CB36" s="26">
        <f t="shared" ca="1" si="78"/>
        <v>1</v>
      </c>
      <c r="CC36" s="26">
        <f t="shared" ca="1" si="79"/>
        <v>1</v>
      </c>
      <c r="CD36" s="26">
        <f t="shared" ca="1" si="80"/>
        <v>1</v>
      </c>
      <c r="CE36" s="26">
        <f t="shared" ca="1" si="81"/>
        <v>0</v>
      </c>
      <c r="CF36" s="86">
        <f t="shared" ca="1" si="82"/>
        <v>0</v>
      </c>
    </row>
    <row r="37" spans="14:84" ht="24.95" customHeight="1" x14ac:dyDescent="0.25">
      <c r="N37" s="82">
        <f t="shared" si="12"/>
        <v>0</v>
      </c>
      <c r="O37" s="88">
        <f t="shared" ca="1" si="13"/>
        <v>0</v>
      </c>
      <c r="P37" s="26">
        <f t="shared" ca="1" si="14"/>
        <v>0</v>
      </c>
      <c r="Q37" s="26">
        <f t="shared" ca="1" si="15"/>
        <v>0</v>
      </c>
      <c r="R37" s="26">
        <f t="shared" ca="1" si="16"/>
        <v>0</v>
      </c>
      <c r="S37" s="26">
        <f t="shared" ca="1" si="17"/>
        <v>0</v>
      </c>
      <c r="T37" s="26">
        <f t="shared" ca="1" si="18"/>
        <v>1</v>
      </c>
      <c r="U37" s="26">
        <f t="shared" ca="1" si="19"/>
        <v>0</v>
      </c>
      <c r="V37" s="88">
        <f t="shared" ca="1" si="20"/>
        <v>0</v>
      </c>
      <c r="W37" s="26">
        <f t="shared" ca="1" si="21"/>
        <v>0</v>
      </c>
      <c r="X37" s="26">
        <f t="shared" ca="1" si="22"/>
        <v>0</v>
      </c>
      <c r="Y37" s="26">
        <f t="shared" ca="1" si="23"/>
        <v>0</v>
      </c>
      <c r="Z37" s="26">
        <f t="shared" ca="1" si="24"/>
        <v>0</v>
      </c>
      <c r="AA37" s="26">
        <f t="shared" ca="1" si="25"/>
        <v>1</v>
      </c>
      <c r="AB37" s="26">
        <f t="shared" ca="1" si="26"/>
        <v>0</v>
      </c>
      <c r="AC37" s="88">
        <f t="shared" ca="1" si="27"/>
        <v>0</v>
      </c>
      <c r="AD37" s="26">
        <f t="shared" ca="1" si="28"/>
        <v>0</v>
      </c>
      <c r="AE37" s="26">
        <f t="shared" ca="1" si="29"/>
        <v>0</v>
      </c>
      <c r="AF37" s="26">
        <f t="shared" ca="1" si="30"/>
        <v>0</v>
      </c>
      <c r="AG37" s="26">
        <f t="shared" ca="1" si="31"/>
        <v>0</v>
      </c>
      <c r="AH37" s="26">
        <f t="shared" ca="1" si="32"/>
        <v>1</v>
      </c>
      <c r="AI37" s="26">
        <f t="shared" ca="1" si="33"/>
        <v>0</v>
      </c>
      <c r="AJ37" s="88">
        <f t="shared" ca="1" si="34"/>
        <v>0</v>
      </c>
      <c r="AK37" s="26">
        <f t="shared" ca="1" si="35"/>
        <v>0</v>
      </c>
      <c r="AL37" s="26">
        <f t="shared" ca="1" si="36"/>
        <v>0</v>
      </c>
      <c r="AM37" s="26">
        <f t="shared" ca="1" si="37"/>
        <v>0</v>
      </c>
      <c r="AN37" s="26">
        <f t="shared" ca="1" si="38"/>
        <v>0</v>
      </c>
      <c r="AO37" s="26">
        <f t="shared" ca="1" si="39"/>
        <v>1</v>
      </c>
      <c r="AP37" s="26">
        <f t="shared" ca="1" si="40"/>
        <v>0</v>
      </c>
      <c r="AQ37" s="88">
        <f t="shared" ca="1" si="41"/>
        <v>0</v>
      </c>
      <c r="AR37" s="26">
        <f t="shared" ca="1" si="42"/>
        <v>1</v>
      </c>
      <c r="AS37" s="26">
        <f t="shared" ca="1" si="43"/>
        <v>0</v>
      </c>
      <c r="AT37" s="26">
        <f t="shared" ca="1" si="44"/>
        <v>0</v>
      </c>
      <c r="AU37" s="26">
        <f t="shared" ca="1" si="45"/>
        <v>0</v>
      </c>
      <c r="AV37" s="26">
        <f t="shared" ca="1" si="46"/>
        <v>1</v>
      </c>
      <c r="AW37" s="26">
        <f t="shared" ca="1" si="47"/>
        <v>0</v>
      </c>
      <c r="AX37" s="88">
        <f t="shared" ca="1" si="48"/>
        <v>0</v>
      </c>
      <c r="AY37" s="26">
        <f t="shared" ca="1" si="49"/>
        <v>1</v>
      </c>
      <c r="AZ37" s="26">
        <f t="shared" ca="1" si="50"/>
        <v>0</v>
      </c>
      <c r="BA37" s="26">
        <f t="shared" ca="1" si="51"/>
        <v>0</v>
      </c>
      <c r="BB37" s="26">
        <f t="shared" ca="1" si="52"/>
        <v>0</v>
      </c>
      <c r="BC37" s="26">
        <f t="shared" ca="1" si="53"/>
        <v>1</v>
      </c>
      <c r="BD37" s="26">
        <f t="shared" ca="1" si="54"/>
        <v>0</v>
      </c>
      <c r="BE37" s="88">
        <f t="shared" ca="1" si="55"/>
        <v>0</v>
      </c>
      <c r="BF37" s="26">
        <f t="shared" ca="1" si="56"/>
        <v>0</v>
      </c>
      <c r="BG37" s="26">
        <f t="shared" ca="1" si="57"/>
        <v>0</v>
      </c>
      <c r="BH37" s="26">
        <f t="shared" ca="1" si="58"/>
        <v>0</v>
      </c>
      <c r="BI37" s="26">
        <f t="shared" ca="1" si="59"/>
        <v>0</v>
      </c>
      <c r="BJ37" s="26">
        <f t="shared" ca="1" si="60"/>
        <v>1</v>
      </c>
      <c r="BK37" s="26">
        <f t="shared" ca="1" si="61"/>
        <v>0</v>
      </c>
      <c r="BL37" s="88">
        <f t="shared" ca="1" si="62"/>
        <v>0</v>
      </c>
      <c r="BM37" s="26">
        <f t="shared" ca="1" si="63"/>
        <v>1</v>
      </c>
      <c r="BN37" s="26">
        <f t="shared" ca="1" si="64"/>
        <v>0</v>
      </c>
      <c r="BO37" s="26">
        <f t="shared" ca="1" si="65"/>
        <v>0</v>
      </c>
      <c r="BP37" s="26">
        <f t="shared" ca="1" si="66"/>
        <v>0</v>
      </c>
      <c r="BQ37" s="26">
        <f t="shared" ca="1" si="67"/>
        <v>1</v>
      </c>
      <c r="BR37" s="26">
        <f t="shared" ca="1" si="68"/>
        <v>0</v>
      </c>
      <c r="BS37" s="88">
        <f t="shared" ca="1" si="69"/>
        <v>0</v>
      </c>
      <c r="BT37" s="26">
        <f t="shared" ca="1" si="70"/>
        <v>0</v>
      </c>
      <c r="BU37" s="26">
        <f t="shared" ca="1" si="71"/>
        <v>0</v>
      </c>
      <c r="BV37" s="26">
        <f t="shared" ca="1" si="72"/>
        <v>0</v>
      </c>
      <c r="BW37" s="26">
        <f t="shared" ca="1" si="73"/>
        <v>0</v>
      </c>
      <c r="BX37" s="26">
        <f t="shared" ca="1" si="74"/>
        <v>1</v>
      </c>
      <c r="BY37" s="26">
        <f t="shared" ca="1" si="75"/>
        <v>0</v>
      </c>
      <c r="BZ37" s="88">
        <f t="shared" ca="1" si="76"/>
        <v>0</v>
      </c>
      <c r="CA37" s="26">
        <f t="shared" ca="1" si="77"/>
        <v>1</v>
      </c>
      <c r="CB37" s="26">
        <f t="shared" ca="1" si="78"/>
        <v>0</v>
      </c>
      <c r="CC37" s="26">
        <f t="shared" ca="1" si="79"/>
        <v>0</v>
      </c>
      <c r="CD37" s="26">
        <f t="shared" ca="1" si="80"/>
        <v>0</v>
      </c>
      <c r="CE37" s="26">
        <f t="shared" ca="1" si="81"/>
        <v>0</v>
      </c>
      <c r="CF37" s="86">
        <f t="shared" ca="1" si="82"/>
        <v>0</v>
      </c>
    </row>
    <row r="38" spans="14:84" ht="24.95" customHeight="1" x14ac:dyDescent="0.25">
      <c r="N38" s="82">
        <f t="shared" si="12"/>
        <v>7</v>
      </c>
      <c r="O38" s="88">
        <f t="shared" ca="1" si="13"/>
        <v>0</v>
      </c>
      <c r="P38" s="26">
        <f t="shared" ca="1" si="14"/>
        <v>0</v>
      </c>
      <c r="Q38" s="26">
        <f t="shared" ca="1" si="15"/>
        <v>0</v>
      </c>
      <c r="R38" s="26">
        <f t="shared" ca="1" si="16"/>
        <v>0</v>
      </c>
      <c r="S38" s="26">
        <f t="shared" ca="1" si="17"/>
        <v>0</v>
      </c>
      <c r="T38" s="26">
        <f t="shared" ca="1" si="18"/>
        <v>1</v>
      </c>
      <c r="U38" s="26">
        <f t="shared" ca="1" si="19"/>
        <v>0</v>
      </c>
      <c r="V38" s="88">
        <f t="shared" ca="1" si="20"/>
        <v>0</v>
      </c>
      <c r="W38" s="26">
        <f t="shared" ca="1" si="21"/>
        <v>0</v>
      </c>
      <c r="X38" s="26">
        <f t="shared" ca="1" si="22"/>
        <v>0</v>
      </c>
      <c r="Y38" s="26">
        <f t="shared" ca="1" si="23"/>
        <v>0</v>
      </c>
      <c r="Z38" s="26">
        <f t="shared" ca="1" si="24"/>
        <v>0</v>
      </c>
      <c r="AA38" s="26">
        <f t="shared" ca="1" si="25"/>
        <v>1</v>
      </c>
      <c r="AB38" s="26">
        <f t="shared" ca="1" si="26"/>
        <v>0</v>
      </c>
      <c r="AC38" s="88">
        <f t="shared" ca="1" si="27"/>
        <v>0</v>
      </c>
      <c r="AD38" s="26">
        <f t="shared" ca="1" si="28"/>
        <v>0</v>
      </c>
      <c r="AE38" s="26">
        <f t="shared" ca="1" si="29"/>
        <v>0</v>
      </c>
      <c r="AF38" s="26">
        <f t="shared" ca="1" si="30"/>
        <v>0</v>
      </c>
      <c r="AG38" s="26">
        <f t="shared" ca="1" si="31"/>
        <v>0</v>
      </c>
      <c r="AH38" s="26">
        <f t="shared" ca="1" si="32"/>
        <v>1</v>
      </c>
      <c r="AI38" s="26">
        <f t="shared" ca="1" si="33"/>
        <v>0</v>
      </c>
      <c r="AJ38" s="88">
        <f t="shared" ca="1" si="34"/>
        <v>0</v>
      </c>
      <c r="AK38" s="26">
        <f t="shared" ca="1" si="35"/>
        <v>0</v>
      </c>
      <c r="AL38" s="26">
        <f t="shared" ca="1" si="36"/>
        <v>0</v>
      </c>
      <c r="AM38" s="26">
        <f t="shared" ca="1" si="37"/>
        <v>0</v>
      </c>
      <c r="AN38" s="26">
        <f t="shared" ca="1" si="38"/>
        <v>0</v>
      </c>
      <c r="AO38" s="26">
        <f t="shared" ca="1" si="39"/>
        <v>1</v>
      </c>
      <c r="AP38" s="26">
        <f t="shared" ca="1" si="40"/>
        <v>0</v>
      </c>
      <c r="AQ38" s="88">
        <f t="shared" ca="1" si="41"/>
        <v>0</v>
      </c>
      <c r="AR38" s="26">
        <f t="shared" ca="1" si="42"/>
        <v>1</v>
      </c>
      <c r="AS38" s="26">
        <f t="shared" ca="1" si="43"/>
        <v>0</v>
      </c>
      <c r="AT38" s="26">
        <f t="shared" ca="1" si="44"/>
        <v>0</v>
      </c>
      <c r="AU38" s="26">
        <f t="shared" ca="1" si="45"/>
        <v>0</v>
      </c>
      <c r="AV38" s="26">
        <f t="shared" ca="1" si="46"/>
        <v>1</v>
      </c>
      <c r="AW38" s="26">
        <f t="shared" ca="1" si="47"/>
        <v>0</v>
      </c>
      <c r="AX38" s="88">
        <f t="shared" ca="1" si="48"/>
        <v>0</v>
      </c>
      <c r="AY38" s="26">
        <f t="shared" ca="1" si="49"/>
        <v>1</v>
      </c>
      <c r="AZ38" s="26">
        <f t="shared" ca="1" si="50"/>
        <v>0</v>
      </c>
      <c r="BA38" s="26">
        <f t="shared" ca="1" si="51"/>
        <v>0</v>
      </c>
      <c r="BB38" s="26">
        <f t="shared" ca="1" si="52"/>
        <v>0</v>
      </c>
      <c r="BC38" s="26">
        <f t="shared" ca="1" si="53"/>
        <v>1</v>
      </c>
      <c r="BD38" s="26">
        <f t="shared" ca="1" si="54"/>
        <v>0</v>
      </c>
      <c r="BE38" s="88">
        <f t="shared" ca="1" si="55"/>
        <v>0</v>
      </c>
      <c r="BF38" s="26">
        <f t="shared" ca="1" si="56"/>
        <v>0</v>
      </c>
      <c r="BG38" s="26">
        <f t="shared" ca="1" si="57"/>
        <v>0</v>
      </c>
      <c r="BH38" s="26">
        <f t="shared" ca="1" si="58"/>
        <v>0</v>
      </c>
      <c r="BI38" s="26">
        <f t="shared" ca="1" si="59"/>
        <v>0</v>
      </c>
      <c r="BJ38" s="26">
        <f t="shared" ca="1" si="60"/>
        <v>1</v>
      </c>
      <c r="BK38" s="26">
        <f t="shared" ca="1" si="61"/>
        <v>0</v>
      </c>
      <c r="BL38" s="88">
        <f t="shared" ca="1" si="62"/>
        <v>0</v>
      </c>
      <c r="BM38" s="26">
        <f t="shared" ca="1" si="63"/>
        <v>1</v>
      </c>
      <c r="BN38" s="26">
        <f t="shared" ca="1" si="64"/>
        <v>0</v>
      </c>
      <c r="BO38" s="26">
        <f t="shared" ca="1" si="65"/>
        <v>0</v>
      </c>
      <c r="BP38" s="26">
        <f t="shared" ca="1" si="66"/>
        <v>0</v>
      </c>
      <c r="BQ38" s="26">
        <f t="shared" ca="1" si="67"/>
        <v>1</v>
      </c>
      <c r="BR38" s="26">
        <f t="shared" ca="1" si="68"/>
        <v>0</v>
      </c>
      <c r="BS38" s="88">
        <f t="shared" ca="1" si="69"/>
        <v>0</v>
      </c>
      <c r="BT38" s="26">
        <f t="shared" ca="1" si="70"/>
        <v>0</v>
      </c>
      <c r="BU38" s="26">
        <f t="shared" ca="1" si="71"/>
        <v>0</v>
      </c>
      <c r="BV38" s="26">
        <f t="shared" ca="1" si="72"/>
        <v>0</v>
      </c>
      <c r="BW38" s="26">
        <f t="shared" ca="1" si="73"/>
        <v>0</v>
      </c>
      <c r="BX38" s="26">
        <f t="shared" ca="1" si="74"/>
        <v>1</v>
      </c>
      <c r="BY38" s="26">
        <f t="shared" ca="1" si="75"/>
        <v>0</v>
      </c>
      <c r="BZ38" s="88">
        <f t="shared" ca="1" si="76"/>
        <v>0</v>
      </c>
      <c r="CA38" s="26">
        <f t="shared" ca="1" si="77"/>
        <v>1</v>
      </c>
      <c r="CB38" s="26">
        <f t="shared" ca="1" si="78"/>
        <v>0</v>
      </c>
      <c r="CC38" s="26">
        <f t="shared" ca="1" si="79"/>
        <v>0</v>
      </c>
      <c r="CD38" s="26">
        <f t="shared" ca="1" si="80"/>
        <v>0</v>
      </c>
      <c r="CE38" s="26">
        <f t="shared" ca="1" si="81"/>
        <v>0</v>
      </c>
      <c r="CF38" s="86">
        <f t="shared" ca="1" si="82"/>
        <v>0</v>
      </c>
    </row>
    <row r="39" spans="14:84" ht="24.95" customHeight="1" x14ac:dyDescent="0.25">
      <c r="N39" s="82">
        <f t="shared" si="12"/>
        <v>8</v>
      </c>
      <c r="O39" s="88">
        <f t="shared" ca="1" si="13"/>
        <v>0</v>
      </c>
      <c r="P39" s="26">
        <f t="shared" ca="1" si="14"/>
        <v>0</v>
      </c>
      <c r="Q39" s="26">
        <f t="shared" ca="1" si="15"/>
        <v>0</v>
      </c>
      <c r="R39" s="26">
        <f t="shared" ca="1" si="16"/>
        <v>0</v>
      </c>
      <c r="S39" s="26">
        <f t="shared" ca="1" si="17"/>
        <v>0</v>
      </c>
      <c r="T39" s="26">
        <f t="shared" ca="1" si="18"/>
        <v>1</v>
      </c>
      <c r="U39" s="26">
        <f t="shared" ca="1" si="19"/>
        <v>0</v>
      </c>
      <c r="V39" s="88">
        <f t="shared" ca="1" si="20"/>
        <v>0</v>
      </c>
      <c r="W39" s="26">
        <f t="shared" ca="1" si="21"/>
        <v>0</v>
      </c>
      <c r="X39" s="26">
        <f t="shared" ca="1" si="22"/>
        <v>0</v>
      </c>
      <c r="Y39" s="26">
        <f t="shared" ca="1" si="23"/>
        <v>0</v>
      </c>
      <c r="Z39" s="26">
        <f t="shared" ca="1" si="24"/>
        <v>0</v>
      </c>
      <c r="AA39" s="26">
        <f t="shared" ca="1" si="25"/>
        <v>1</v>
      </c>
      <c r="AB39" s="26">
        <f t="shared" ca="1" si="26"/>
        <v>0</v>
      </c>
      <c r="AC39" s="88">
        <f t="shared" ca="1" si="27"/>
        <v>0</v>
      </c>
      <c r="AD39" s="26">
        <f t="shared" ca="1" si="28"/>
        <v>0</v>
      </c>
      <c r="AE39" s="26">
        <f t="shared" ca="1" si="29"/>
        <v>0</v>
      </c>
      <c r="AF39" s="26">
        <f t="shared" ca="1" si="30"/>
        <v>0</v>
      </c>
      <c r="AG39" s="26">
        <f t="shared" ca="1" si="31"/>
        <v>0</v>
      </c>
      <c r="AH39" s="26">
        <f t="shared" ca="1" si="32"/>
        <v>1</v>
      </c>
      <c r="AI39" s="26">
        <f t="shared" ca="1" si="33"/>
        <v>0</v>
      </c>
      <c r="AJ39" s="88">
        <f t="shared" ca="1" si="34"/>
        <v>0</v>
      </c>
      <c r="AK39" s="26">
        <f t="shared" ca="1" si="35"/>
        <v>0</v>
      </c>
      <c r="AL39" s="26">
        <f t="shared" ca="1" si="36"/>
        <v>0</v>
      </c>
      <c r="AM39" s="26">
        <f t="shared" ca="1" si="37"/>
        <v>0</v>
      </c>
      <c r="AN39" s="26">
        <f t="shared" ca="1" si="38"/>
        <v>0</v>
      </c>
      <c r="AO39" s="26">
        <f t="shared" ca="1" si="39"/>
        <v>1</v>
      </c>
      <c r="AP39" s="26">
        <f t="shared" ca="1" si="40"/>
        <v>0</v>
      </c>
      <c r="AQ39" s="88">
        <f t="shared" ca="1" si="41"/>
        <v>0</v>
      </c>
      <c r="AR39" s="26">
        <f t="shared" ca="1" si="42"/>
        <v>1</v>
      </c>
      <c r="AS39" s="26">
        <f t="shared" ca="1" si="43"/>
        <v>0</v>
      </c>
      <c r="AT39" s="26">
        <f t="shared" ca="1" si="44"/>
        <v>0</v>
      </c>
      <c r="AU39" s="26">
        <f t="shared" ca="1" si="45"/>
        <v>0</v>
      </c>
      <c r="AV39" s="26">
        <f t="shared" ca="1" si="46"/>
        <v>1</v>
      </c>
      <c r="AW39" s="26">
        <f t="shared" ca="1" si="47"/>
        <v>0</v>
      </c>
      <c r="AX39" s="88">
        <f t="shared" ca="1" si="48"/>
        <v>0</v>
      </c>
      <c r="AY39" s="26">
        <f t="shared" ca="1" si="49"/>
        <v>1</v>
      </c>
      <c r="AZ39" s="26">
        <f t="shared" ca="1" si="50"/>
        <v>0</v>
      </c>
      <c r="BA39" s="26">
        <f t="shared" ca="1" si="51"/>
        <v>0</v>
      </c>
      <c r="BB39" s="26">
        <f t="shared" ca="1" si="52"/>
        <v>0</v>
      </c>
      <c r="BC39" s="26">
        <f t="shared" ca="1" si="53"/>
        <v>1</v>
      </c>
      <c r="BD39" s="26">
        <f t="shared" ca="1" si="54"/>
        <v>0</v>
      </c>
      <c r="BE39" s="88">
        <f t="shared" ca="1" si="55"/>
        <v>0</v>
      </c>
      <c r="BF39" s="26">
        <f t="shared" ca="1" si="56"/>
        <v>0</v>
      </c>
      <c r="BG39" s="26">
        <f t="shared" ca="1" si="57"/>
        <v>0</v>
      </c>
      <c r="BH39" s="26">
        <f t="shared" ca="1" si="58"/>
        <v>0</v>
      </c>
      <c r="BI39" s="26">
        <f t="shared" ca="1" si="59"/>
        <v>0</v>
      </c>
      <c r="BJ39" s="26">
        <f t="shared" ca="1" si="60"/>
        <v>1</v>
      </c>
      <c r="BK39" s="26">
        <f t="shared" ca="1" si="61"/>
        <v>0</v>
      </c>
      <c r="BL39" s="88">
        <f t="shared" ca="1" si="62"/>
        <v>0</v>
      </c>
      <c r="BM39" s="26">
        <f t="shared" ca="1" si="63"/>
        <v>1</v>
      </c>
      <c r="BN39" s="26">
        <f t="shared" ca="1" si="64"/>
        <v>0</v>
      </c>
      <c r="BO39" s="26">
        <f t="shared" ca="1" si="65"/>
        <v>0</v>
      </c>
      <c r="BP39" s="26">
        <f t="shared" ca="1" si="66"/>
        <v>0</v>
      </c>
      <c r="BQ39" s="26">
        <f t="shared" ca="1" si="67"/>
        <v>1</v>
      </c>
      <c r="BR39" s="26">
        <f t="shared" ca="1" si="68"/>
        <v>0</v>
      </c>
      <c r="BS39" s="88">
        <f t="shared" ca="1" si="69"/>
        <v>0</v>
      </c>
      <c r="BT39" s="26">
        <f t="shared" ca="1" si="70"/>
        <v>0</v>
      </c>
      <c r="BU39" s="26">
        <f t="shared" ca="1" si="71"/>
        <v>0</v>
      </c>
      <c r="BV39" s="26">
        <f t="shared" ca="1" si="72"/>
        <v>0</v>
      </c>
      <c r="BW39" s="26">
        <f t="shared" ca="1" si="73"/>
        <v>0</v>
      </c>
      <c r="BX39" s="26">
        <f t="shared" ca="1" si="74"/>
        <v>1</v>
      </c>
      <c r="BY39" s="26">
        <f t="shared" ca="1" si="75"/>
        <v>0</v>
      </c>
      <c r="BZ39" s="88">
        <f t="shared" ca="1" si="76"/>
        <v>0</v>
      </c>
      <c r="CA39" s="26">
        <f t="shared" ca="1" si="77"/>
        <v>1</v>
      </c>
      <c r="CB39" s="26">
        <f t="shared" ca="1" si="78"/>
        <v>0</v>
      </c>
      <c r="CC39" s="26">
        <f t="shared" ca="1" si="79"/>
        <v>0</v>
      </c>
      <c r="CD39" s="26">
        <f t="shared" ca="1" si="80"/>
        <v>0</v>
      </c>
      <c r="CE39" s="26">
        <f t="shared" ca="1" si="81"/>
        <v>0</v>
      </c>
      <c r="CF39" s="86">
        <f t="shared" ca="1" si="82"/>
        <v>0</v>
      </c>
    </row>
    <row r="40" spans="14:84" ht="24.95" customHeight="1" x14ac:dyDescent="0.25">
      <c r="N40" s="82">
        <f t="shared" si="12"/>
        <v>9</v>
      </c>
      <c r="O40" s="89">
        <f t="shared" ca="1" si="13"/>
        <v>0</v>
      </c>
      <c r="P40" s="90">
        <f t="shared" ca="1" si="14"/>
        <v>0</v>
      </c>
      <c r="Q40" s="90">
        <f t="shared" ca="1" si="15"/>
        <v>0</v>
      </c>
      <c r="R40" s="90">
        <f t="shared" ca="1" si="16"/>
        <v>0</v>
      </c>
      <c r="S40" s="90">
        <f t="shared" ca="1" si="17"/>
        <v>0</v>
      </c>
      <c r="T40" s="90">
        <f t="shared" ca="1" si="18"/>
        <v>0</v>
      </c>
      <c r="U40" s="90">
        <f t="shared" ca="1" si="19"/>
        <v>0</v>
      </c>
      <c r="V40" s="89">
        <f t="shared" ca="1" si="20"/>
        <v>0</v>
      </c>
      <c r="W40" s="90">
        <f t="shared" ca="1" si="21"/>
        <v>0</v>
      </c>
      <c r="X40" s="90">
        <f t="shared" ca="1" si="22"/>
        <v>0</v>
      </c>
      <c r="Y40" s="90">
        <f t="shared" ca="1" si="23"/>
        <v>0</v>
      </c>
      <c r="Z40" s="90">
        <f t="shared" ca="1" si="24"/>
        <v>0</v>
      </c>
      <c r="AA40" s="90">
        <f t="shared" ca="1" si="25"/>
        <v>0</v>
      </c>
      <c r="AB40" s="90">
        <f t="shared" ca="1" si="26"/>
        <v>0</v>
      </c>
      <c r="AC40" s="89">
        <f t="shared" ca="1" si="27"/>
        <v>0</v>
      </c>
      <c r="AD40" s="90">
        <f t="shared" ca="1" si="28"/>
        <v>0</v>
      </c>
      <c r="AE40" s="90">
        <f t="shared" ca="1" si="29"/>
        <v>0</v>
      </c>
      <c r="AF40" s="90">
        <f t="shared" ca="1" si="30"/>
        <v>0</v>
      </c>
      <c r="AG40" s="90">
        <f t="shared" ca="1" si="31"/>
        <v>0</v>
      </c>
      <c r="AH40" s="90">
        <f t="shared" ca="1" si="32"/>
        <v>0</v>
      </c>
      <c r="AI40" s="90">
        <f t="shared" ca="1" si="33"/>
        <v>0</v>
      </c>
      <c r="AJ40" s="89">
        <f t="shared" ca="1" si="34"/>
        <v>0</v>
      </c>
      <c r="AK40" s="90">
        <f t="shared" ca="1" si="35"/>
        <v>0</v>
      </c>
      <c r="AL40" s="90">
        <f t="shared" ca="1" si="36"/>
        <v>1</v>
      </c>
      <c r="AM40" s="90">
        <f t="shared" ca="1" si="37"/>
        <v>1</v>
      </c>
      <c r="AN40" s="90">
        <f t="shared" ca="1" si="38"/>
        <v>1</v>
      </c>
      <c r="AO40" s="90">
        <f t="shared" ca="1" si="39"/>
        <v>0</v>
      </c>
      <c r="AP40" s="90">
        <f t="shared" ca="1" si="40"/>
        <v>0</v>
      </c>
      <c r="AQ40" s="89">
        <f t="shared" ca="1" si="41"/>
        <v>0</v>
      </c>
      <c r="AR40" s="90">
        <f t="shared" ca="1" si="42"/>
        <v>0</v>
      </c>
      <c r="AS40" s="90">
        <f t="shared" ca="1" si="43"/>
        <v>1</v>
      </c>
      <c r="AT40" s="90">
        <f t="shared" ca="1" si="44"/>
        <v>1</v>
      </c>
      <c r="AU40" s="90">
        <f t="shared" ca="1" si="45"/>
        <v>1</v>
      </c>
      <c r="AV40" s="90">
        <f t="shared" ca="1" si="46"/>
        <v>0</v>
      </c>
      <c r="AW40" s="90">
        <f t="shared" ca="1" si="47"/>
        <v>0</v>
      </c>
      <c r="AX40" s="89">
        <f t="shared" ca="1" si="48"/>
        <v>0</v>
      </c>
      <c r="AY40" s="90">
        <f t="shared" ca="1" si="49"/>
        <v>0</v>
      </c>
      <c r="AZ40" s="90">
        <f t="shared" ca="1" si="50"/>
        <v>1</v>
      </c>
      <c r="BA40" s="90">
        <f t="shared" ca="1" si="51"/>
        <v>1</v>
      </c>
      <c r="BB40" s="90">
        <f t="shared" ca="1" si="52"/>
        <v>1</v>
      </c>
      <c r="BC40" s="90">
        <f t="shared" ca="1" si="53"/>
        <v>0</v>
      </c>
      <c r="BD40" s="90">
        <f t="shared" ca="1" si="54"/>
        <v>0</v>
      </c>
      <c r="BE40" s="89">
        <f t="shared" ca="1" si="55"/>
        <v>0</v>
      </c>
      <c r="BF40" s="90">
        <f t="shared" ca="1" si="56"/>
        <v>0</v>
      </c>
      <c r="BG40" s="90">
        <f t="shared" ca="1" si="57"/>
        <v>1</v>
      </c>
      <c r="BH40" s="90">
        <f t="shared" ca="1" si="58"/>
        <v>1</v>
      </c>
      <c r="BI40" s="90">
        <f t="shared" ca="1" si="59"/>
        <v>1</v>
      </c>
      <c r="BJ40" s="90">
        <f t="shared" ca="1" si="60"/>
        <v>0</v>
      </c>
      <c r="BK40" s="90">
        <f t="shared" ca="1" si="61"/>
        <v>0</v>
      </c>
      <c r="BL40" s="89">
        <f t="shared" ca="1" si="62"/>
        <v>0</v>
      </c>
      <c r="BM40" s="90">
        <f t="shared" ca="1" si="63"/>
        <v>0</v>
      </c>
      <c r="BN40" s="90">
        <f t="shared" ca="1" si="64"/>
        <v>1</v>
      </c>
      <c r="BO40" s="90">
        <f t="shared" ca="1" si="65"/>
        <v>1</v>
      </c>
      <c r="BP40" s="90">
        <f t="shared" ca="1" si="66"/>
        <v>1</v>
      </c>
      <c r="BQ40" s="90">
        <f t="shared" ca="1" si="67"/>
        <v>0</v>
      </c>
      <c r="BR40" s="90">
        <f t="shared" ca="1" si="68"/>
        <v>0</v>
      </c>
      <c r="BS40" s="89">
        <f t="shared" ca="1" si="69"/>
        <v>0</v>
      </c>
      <c r="BT40" s="90">
        <f t="shared" ca="1" si="70"/>
        <v>0</v>
      </c>
      <c r="BU40" s="90">
        <f t="shared" ca="1" si="71"/>
        <v>0</v>
      </c>
      <c r="BV40" s="90">
        <f t="shared" ca="1" si="72"/>
        <v>0</v>
      </c>
      <c r="BW40" s="90">
        <f t="shared" ca="1" si="73"/>
        <v>0</v>
      </c>
      <c r="BX40" s="90">
        <f t="shared" ca="1" si="74"/>
        <v>0</v>
      </c>
      <c r="BY40" s="90">
        <f t="shared" ca="1" si="75"/>
        <v>0</v>
      </c>
      <c r="BZ40" s="89">
        <f t="shared" ca="1" si="76"/>
        <v>0</v>
      </c>
      <c r="CA40" s="90">
        <f t="shared" ca="1" si="77"/>
        <v>0</v>
      </c>
      <c r="CB40" s="90">
        <f t="shared" ca="1" si="78"/>
        <v>1</v>
      </c>
      <c r="CC40" s="90">
        <f t="shared" ca="1" si="79"/>
        <v>1</v>
      </c>
      <c r="CD40" s="90">
        <f t="shared" ca="1" si="80"/>
        <v>1</v>
      </c>
      <c r="CE40" s="90">
        <f t="shared" ca="1" si="81"/>
        <v>0</v>
      </c>
      <c r="CF40" s="91">
        <f t="shared" ca="1" si="82"/>
        <v>0</v>
      </c>
    </row>
    <row r="41" spans="14:84" x14ac:dyDescent="0.25">
      <c r="N41" s="82"/>
    </row>
    <row r="44" spans="14:84" x14ac:dyDescent="0.25">
      <c r="O44" s="168">
        <f ca="1">Sheet2!$DF50</f>
        <v>4</v>
      </c>
      <c r="P44" s="168"/>
      <c r="Q44" s="168"/>
      <c r="R44" s="168"/>
      <c r="S44" s="168"/>
      <c r="T44" s="168"/>
      <c r="U44" s="168"/>
      <c r="V44" s="168">
        <f ca="1">Sheet2!$DF51</f>
        <v>7</v>
      </c>
      <c r="W44" s="168"/>
      <c r="X44" s="168"/>
      <c r="Y44" s="168"/>
      <c r="Z44" s="168"/>
      <c r="AA44" s="168"/>
      <c r="AB44" s="168"/>
      <c r="AC44" s="168">
        <f ca="1">Sheet2!$DF52</f>
        <v>1</v>
      </c>
      <c r="AD44" s="168"/>
      <c r="AE44" s="168"/>
      <c r="AF44" s="168"/>
      <c r="AG44" s="168"/>
      <c r="AH44" s="168"/>
      <c r="AI44" s="168"/>
      <c r="AJ44" s="168">
        <f ca="1">Sheet2!$DF53</f>
        <v>9</v>
      </c>
      <c r="AK44" s="168"/>
      <c r="AL44" s="168"/>
      <c r="AM44" s="168"/>
      <c r="AN44" s="168"/>
      <c r="AO44" s="168"/>
      <c r="AP44" s="168"/>
      <c r="AQ44" s="168">
        <f ca="1">Sheet2!$DF54</f>
        <v>8</v>
      </c>
      <c r="AR44" s="168"/>
      <c r="AS44" s="168"/>
      <c r="AT44" s="168"/>
      <c r="AU44" s="168"/>
      <c r="AV44" s="168"/>
      <c r="AW44" s="168"/>
      <c r="AX44" s="168">
        <f ca="1">Sheet2!$DF55</f>
        <v>0</v>
      </c>
      <c r="AY44" s="168"/>
      <c r="AZ44" s="168"/>
      <c r="BA44" s="168"/>
      <c r="BB44" s="168"/>
      <c r="BC44" s="168"/>
      <c r="BD44" s="168"/>
      <c r="BE44" s="168">
        <f ca="1">Sheet2!$DF56</f>
        <v>5</v>
      </c>
      <c r="BF44" s="168"/>
      <c r="BG44" s="168"/>
      <c r="BH44" s="168"/>
      <c r="BI44" s="168"/>
      <c r="BJ44" s="168"/>
      <c r="BK44" s="168"/>
      <c r="BL44" s="168">
        <f ca="1">Sheet2!$DF57</f>
        <v>6</v>
      </c>
      <c r="BM44" s="168"/>
      <c r="BN44" s="168"/>
      <c r="BO44" s="168"/>
      <c r="BP44" s="168"/>
      <c r="BQ44" s="168"/>
      <c r="BR44" s="168"/>
      <c r="BS44" s="168">
        <f ca="1">Sheet2!$DF58</f>
        <v>1</v>
      </c>
      <c r="BT44" s="168"/>
      <c r="BU44" s="168"/>
      <c r="BV44" s="168"/>
      <c r="BW44" s="168"/>
      <c r="BX44" s="168"/>
      <c r="BY44" s="168"/>
      <c r="BZ44" s="168" t="str">
        <f ca="1">Sheet2!$DF59</f>
        <v>E</v>
      </c>
      <c r="CA44" s="168"/>
      <c r="CB44" s="168"/>
      <c r="CC44" s="168"/>
      <c r="CD44" s="168"/>
      <c r="CE44" s="168"/>
      <c r="CF44" s="168"/>
    </row>
    <row r="45" spans="14:84" x14ac:dyDescent="0.25"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/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/>
      <c r="CF45" s="168"/>
    </row>
    <row r="46" spans="14:84" x14ac:dyDescent="0.25"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</row>
    <row r="47" spans="14:84" x14ac:dyDescent="0.25"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</row>
    <row r="48" spans="14:84" x14ac:dyDescent="0.25"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</row>
    <row r="49" spans="15:84" x14ac:dyDescent="0.25"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</row>
    <row r="50" spans="15:84" x14ac:dyDescent="0.25"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</row>
    <row r="51" spans="15:84" x14ac:dyDescent="0.25"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</row>
  </sheetData>
  <mergeCells count="11">
    <mergeCell ref="BZ44:CF51"/>
    <mergeCell ref="O44:U51"/>
    <mergeCell ref="V44:AB51"/>
    <mergeCell ref="AC44:AI51"/>
    <mergeCell ref="AJ44:AP51"/>
    <mergeCell ref="AQ44:AW51"/>
    <mergeCell ref="AX44:BD51"/>
    <mergeCell ref="AM4:AO6"/>
    <mergeCell ref="BE44:BK51"/>
    <mergeCell ref="BL44:BR51"/>
    <mergeCell ref="BS44:BY51"/>
  </mergeCells>
  <conditionalFormatting sqref="P8:CG16">
    <cfRule type="colorScale" priority="38">
      <colorScale>
        <cfvo type="min"/>
        <cfvo type="max"/>
        <color rgb="FFFCFCFF"/>
        <color rgb="FF63BE7B"/>
      </colorScale>
    </cfRule>
  </conditionalFormatting>
  <conditionalFormatting sqref="O20:CT28">
    <cfRule type="colorScale" priority="37">
      <colorScale>
        <cfvo type="min"/>
        <cfvo type="max"/>
        <color rgb="FFFCFCFF"/>
        <color rgb="FF63BE7B"/>
      </colorScale>
    </cfRule>
  </conditionalFormatting>
  <conditionalFormatting sqref="O18:CV18">
    <cfRule type="cellIs" dxfId="5" priority="35" operator="between">
      <formula>0</formula>
      <formula>0</formula>
    </cfRule>
    <cfRule type="cellIs" dxfId="4" priority="36" operator="between">
      <formula>0</formula>
      <formula>0</formula>
    </cfRule>
  </conditionalFormatting>
  <conditionalFormatting sqref="O32:U40">
    <cfRule type="colorScale" priority="34">
      <colorScale>
        <cfvo type="min"/>
        <cfvo type="max"/>
        <color rgb="FFFCFCFF"/>
        <color rgb="FF63BE7B"/>
      </colorScale>
    </cfRule>
  </conditionalFormatting>
  <conditionalFormatting sqref="V32:AB40">
    <cfRule type="colorScale" priority="33">
      <colorScale>
        <cfvo type="min"/>
        <cfvo type="max"/>
        <color rgb="FFFCFCFF"/>
        <color rgb="FF63BE7B"/>
      </colorScale>
    </cfRule>
  </conditionalFormatting>
  <conditionalFormatting sqref="AC32:AI40">
    <cfRule type="colorScale" priority="10">
      <colorScale>
        <cfvo type="min"/>
        <cfvo type="max"/>
        <color rgb="FFFCFCFF"/>
        <color rgb="FF63BE7B"/>
      </colorScale>
    </cfRule>
  </conditionalFormatting>
  <conditionalFormatting sqref="AJ32:AP40">
    <cfRule type="colorScale" priority="9">
      <colorScale>
        <cfvo type="min"/>
        <cfvo type="max"/>
        <color rgb="FFFCFCFF"/>
        <color rgb="FF63BE7B"/>
      </colorScale>
    </cfRule>
  </conditionalFormatting>
  <conditionalFormatting sqref="AQ32:AW40">
    <cfRule type="colorScale" priority="8">
      <colorScale>
        <cfvo type="min"/>
        <cfvo type="max"/>
        <color rgb="FFFCFCFF"/>
        <color rgb="FF63BE7B"/>
      </colorScale>
    </cfRule>
  </conditionalFormatting>
  <conditionalFormatting sqref="AX32:BD40">
    <cfRule type="colorScale" priority="7">
      <colorScale>
        <cfvo type="min"/>
        <cfvo type="max"/>
        <color rgb="FFFCFCFF"/>
        <color rgb="FF63BE7B"/>
      </colorScale>
    </cfRule>
  </conditionalFormatting>
  <conditionalFormatting sqref="BE32:BK40">
    <cfRule type="colorScale" priority="6">
      <colorScale>
        <cfvo type="min"/>
        <cfvo type="max"/>
        <color rgb="FFFCFCFF"/>
        <color rgb="FF63BE7B"/>
      </colorScale>
    </cfRule>
  </conditionalFormatting>
  <conditionalFormatting sqref="BL32:BR40">
    <cfRule type="colorScale" priority="5">
      <colorScale>
        <cfvo type="min"/>
        <cfvo type="max"/>
        <color rgb="FFFCFCFF"/>
        <color rgb="FF63BE7B"/>
      </colorScale>
    </cfRule>
  </conditionalFormatting>
  <conditionalFormatting sqref="BS32:BY40">
    <cfRule type="colorScale" priority="4">
      <colorScale>
        <cfvo type="min"/>
        <cfvo type="max"/>
        <color rgb="FFFCFCFF"/>
        <color rgb="FF63BE7B"/>
      </colorScale>
    </cfRule>
  </conditionalFormatting>
  <conditionalFormatting sqref="BZ32:CF40">
    <cfRule type="colorScale" priority="3">
      <colorScale>
        <cfvo type="min"/>
        <cfvo type="max"/>
        <color rgb="FFFCFCFF"/>
        <color rgb="FF63BE7B"/>
      </colorScale>
    </cfRule>
  </conditionalFormatting>
  <conditionalFormatting sqref="CU20:DA2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6" r:id="rId4" name="ScrollBar1">
          <controlPr defaultSize="0" autoLine="0" autoPict="0" linkedCell="AV3" r:id="rId5">
            <anchor moveWithCells="1">
              <from>
                <xdr:col>41</xdr:col>
                <xdr:colOff>66675</xdr:colOff>
                <xdr:row>3</xdr:row>
                <xdr:rowOff>9525</xdr:rowOff>
              </from>
              <to>
                <xdr:col>52</xdr:col>
                <xdr:colOff>142875</xdr:colOff>
                <xdr:row>6</xdr:row>
                <xdr:rowOff>0</xdr:rowOff>
              </to>
            </anchor>
          </controlPr>
        </control>
      </mc:Choice>
      <mc:Fallback>
        <control shapeId="3076" r:id="rId4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Sheet1</vt:lpstr>
      <vt:lpstr>Sheet2</vt:lpstr>
      <vt:lpstr>Sheet3</vt:lpstr>
      <vt:lpstr>Matr1</vt:lpstr>
      <vt:lpstr>Matr10</vt:lpstr>
      <vt:lpstr>Matr2</vt:lpstr>
      <vt:lpstr>Matr3</vt:lpstr>
      <vt:lpstr>Matr4</vt:lpstr>
      <vt:lpstr>Matr5</vt:lpstr>
      <vt:lpstr>Matr6</vt:lpstr>
      <vt:lpstr>Matr7</vt:lpstr>
      <vt:lpstr>Matr8</vt:lpstr>
      <vt:lpstr>Matr9</vt:lpstr>
      <vt:lpstr>Matrice1</vt:lpstr>
      <vt:lpstr>Matrice10</vt:lpstr>
      <vt:lpstr>Matrice2</vt:lpstr>
      <vt:lpstr>Matrice3</vt:lpstr>
      <vt:lpstr>Matrice4</vt:lpstr>
      <vt:lpstr>Matrice5</vt:lpstr>
      <vt:lpstr>Matrice6</vt:lpstr>
      <vt:lpstr>Matrice7</vt:lpstr>
      <vt:lpstr>Matrice8</vt:lpstr>
      <vt:lpstr>Matrice9</vt:lpstr>
      <vt:lpstr>RefCharCharNumber</vt:lpstr>
      <vt:lpstr>RefCharNamedRangeCharValue</vt:lpstr>
      <vt:lpstr>RefCharNamedRangeRange</vt:lpstr>
      <vt:lpstr>RefCharTotalCharNumber</vt:lpstr>
      <vt:lpstr>Refe1</vt:lpstr>
      <vt:lpstr>Refe10</vt:lpstr>
      <vt:lpstr>Refe11</vt:lpstr>
      <vt:lpstr>Refe12</vt:lpstr>
      <vt:lpstr>Refe2</vt:lpstr>
      <vt:lpstr>Refe3</vt:lpstr>
      <vt:lpstr>Refe4</vt:lpstr>
      <vt:lpstr>Refe5</vt:lpstr>
      <vt:lpstr>Refe6</vt:lpstr>
      <vt:lpstr>Refe7</vt:lpstr>
      <vt:lpstr>Refe8</vt:lpstr>
      <vt:lpstr>Refe9</vt:lpstr>
      <vt:lpstr>Reference1</vt:lpstr>
      <vt:lpstr>Reference10</vt:lpstr>
      <vt:lpstr>Reference11</vt:lpstr>
      <vt:lpstr>Reference12</vt:lpstr>
      <vt:lpstr>Reference2</vt:lpstr>
      <vt:lpstr>Reference3</vt:lpstr>
      <vt:lpstr>Reference4</vt:lpstr>
      <vt:lpstr>Reference5</vt:lpstr>
      <vt:lpstr>Reference6</vt:lpstr>
      <vt:lpstr>Reference7</vt:lpstr>
      <vt:lpstr>Reference8</vt:lpstr>
      <vt:lpstr>Reference9</vt:lpstr>
      <vt:lpstr>strToProcessCharNumber</vt:lpstr>
      <vt:lpstr>strToProcessRange</vt:lpstr>
      <vt:lpstr>strToProcessTotalCharNumber</vt:lpstr>
      <vt:lpstr>ValeurX</vt:lpstr>
      <vt:lpstr>ValeurY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2015-12-19T22:41:04Z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51b3f5f0-384b-4918-8b45-7ff69be60d22</vt:lpwstr>
  </property>
</Properties>
</file>