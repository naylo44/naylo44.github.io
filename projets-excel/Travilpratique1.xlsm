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bas\Desktop\Travail\"/>
    </mc:Choice>
  </mc:AlternateContent>
  <bookViews>
    <workbookView xWindow="0" yWindow="0" windowWidth="19200" windowHeight="6770" activeTab="1"/>
  </bookViews>
  <sheets>
    <sheet name="Sheet1" sheetId="1" r:id="rId1"/>
    <sheet name="Sheet3" sheetId="3" r:id="rId2"/>
  </sheets>
  <definedNames>
    <definedName name="Activité">Sheet1!$E$2:$E$26</definedName>
    <definedName name="Allocation">Sheet1!$N$2:$N$26</definedName>
    <definedName name="Code">Sheet1!$C$2:$C$26</definedName>
    <definedName name="CodeSession">Sheet1!$AD$1:$AS$2</definedName>
    <definedName name="Crédits">Sheet1!$I$2:$I$26</definedName>
    <definedName name="cycle">Sheet1!$F$2:$F$26</definedName>
    <definedName name="faculté">Sheet1!$B$2:$B$26</definedName>
    <definedName name="Nb.étud.">Sheet1!$J$2:$J$26</definedName>
    <definedName name="Nom">Sheet1!$K$2:$K$26</definedName>
    <definedName name="Remarque">Sheet1!$M$2:$M$26</definedName>
    <definedName name="section">Sheet1!$G$2:$G$26</definedName>
    <definedName name="Statut">Sheet1!$L$2:$L$26</definedName>
    <definedName name="Titre">Sheet1!$H$2:$H$26</definedName>
    <definedName name="Unité">Sheet1!$A$2:$A$26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N3" i="1" l="1"/>
  <c r="N4" i="1"/>
  <c r="N5" i="1"/>
  <c r="N6" i="1"/>
  <c r="N7" i="1"/>
  <c r="N8" i="1"/>
  <c r="N9" i="1"/>
  <c r="O9" i="1" s="1"/>
  <c r="N10" i="1"/>
  <c r="N11" i="1"/>
  <c r="N12" i="1"/>
  <c r="N13" i="1"/>
  <c r="N14" i="1"/>
  <c r="N15" i="1"/>
  <c r="N16" i="1"/>
  <c r="N17" i="1"/>
  <c r="O17" i="1" s="1"/>
  <c r="N18" i="1"/>
  <c r="N19" i="1"/>
  <c r="N20" i="1"/>
  <c r="N21" i="1"/>
  <c r="N22" i="1"/>
  <c r="N23" i="1"/>
  <c r="N24" i="1"/>
  <c r="N25" i="1"/>
  <c r="O25" i="1" s="1"/>
  <c r="N26" i="1"/>
  <c r="N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" i="1"/>
  <c r="O3" i="1"/>
  <c r="O4" i="1"/>
  <c r="O5" i="1"/>
  <c r="O6" i="1"/>
  <c r="O7" i="1"/>
  <c r="O8" i="1"/>
  <c r="O10" i="1"/>
  <c r="O11" i="1"/>
  <c r="O12" i="1"/>
  <c r="O13" i="1"/>
  <c r="O14" i="1"/>
  <c r="O15" i="1"/>
  <c r="O16" i="1"/>
  <c r="O18" i="1"/>
  <c r="O19" i="1"/>
  <c r="O20" i="1"/>
  <c r="O21" i="1"/>
  <c r="O22" i="1"/>
  <c r="O23" i="1"/>
  <c r="O24" i="1"/>
  <c r="O2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O2" i="1" l="1"/>
  <c r="O27" i="1" s="1"/>
  <c r="N27" i="1"/>
</calcChain>
</file>

<file path=xl/sharedStrings.xml><?xml version="1.0" encoding="utf-8"?>
<sst xmlns="http://schemas.openxmlformats.org/spreadsheetml/2006/main" count="160" uniqueCount="109">
  <si>
    <t>Unité</t>
  </si>
  <si>
    <t>faculté</t>
  </si>
  <si>
    <t>Code session</t>
  </si>
  <si>
    <t>Session</t>
  </si>
  <si>
    <t>Activité</t>
  </si>
  <si>
    <t>cycle</t>
  </si>
  <si>
    <t>section</t>
  </si>
  <si>
    <t>Titre activité</t>
  </si>
  <si>
    <t>TED-22625</t>
  </si>
  <si>
    <t>TED-66789</t>
  </si>
  <si>
    <t>MNG-65709</t>
  </si>
  <si>
    <t>MNG-66149</t>
  </si>
  <si>
    <t>MNG-65424</t>
  </si>
  <si>
    <t>MNG-65057</t>
  </si>
  <si>
    <t>MNG-66024</t>
  </si>
  <si>
    <t>MNG-64883</t>
  </si>
  <si>
    <t>MDD-66250</t>
  </si>
  <si>
    <t>MDD-63232</t>
  </si>
  <si>
    <t>MDD-80217</t>
  </si>
  <si>
    <t>MDD-80216</t>
  </si>
  <si>
    <t>MDD-80215</t>
  </si>
  <si>
    <t>MDD-66443</t>
  </si>
  <si>
    <t>MNG-22349</t>
  </si>
  <si>
    <t>Y</t>
  </si>
  <si>
    <t>A</t>
  </si>
  <si>
    <t>Y2</t>
  </si>
  <si>
    <t>L'Analyse fonctionnelle</t>
  </si>
  <si>
    <t>Le Processus clinique</t>
  </si>
  <si>
    <t>Mod. Mentaux &amp; stress au trav.</t>
  </si>
  <si>
    <t>Gestion de projets</t>
  </si>
  <si>
    <t>Projet d'intégration</t>
  </si>
  <si>
    <t>Leadership et mobilisation</t>
  </si>
  <si>
    <t>Gestion des communications</t>
  </si>
  <si>
    <t>Gest. équipe trav. -form.cont.</t>
  </si>
  <si>
    <t>Stage en milieu hospitalier V</t>
  </si>
  <si>
    <t>Anatomie descriptive avancée I</t>
  </si>
  <si>
    <t xml:space="preserve">Stage en pédiatrie </t>
  </si>
  <si>
    <t xml:space="preserve">Stage en psychiatrie </t>
  </si>
  <si>
    <t>Stage en orthopédie</t>
  </si>
  <si>
    <t>Présentation projet maîtrise</t>
  </si>
  <si>
    <t>Appréciation du rendement</t>
  </si>
  <si>
    <t>Crédits</t>
  </si>
  <si>
    <t>Nb. étud.</t>
  </si>
  <si>
    <t>Nom, Prénom</t>
  </si>
  <si>
    <t>Statut universitaire</t>
  </si>
  <si>
    <t>Remarque</t>
  </si>
  <si>
    <t>Mainville, Johanne</t>
  </si>
  <si>
    <t>Larose, Joanne</t>
  </si>
  <si>
    <t>Roy, Louis</t>
  </si>
  <si>
    <t>Aubin, Nathalie</t>
  </si>
  <si>
    <t xml:space="preserve">Lachance, Denis </t>
  </si>
  <si>
    <t>Bolduc, Cécile</t>
  </si>
  <si>
    <t>Poirier, Dominique</t>
  </si>
  <si>
    <t xml:space="preserve">Provencher, Éric </t>
  </si>
  <si>
    <t>Nicholson, Lynda</t>
  </si>
  <si>
    <t xml:space="preserve">Desaulniers, Denis  </t>
  </si>
  <si>
    <t>Landry, Pierre-Erick</t>
  </si>
  <si>
    <t xml:space="preserve">Giasson, Luc </t>
  </si>
  <si>
    <t>Guilbert, Louise</t>
  </si>
  <si>
    <t>Chargé cours</t>
  </si>
  <si>
    <t>Professeur</t>
  </si>
  <si>
    <t>Professeur clinique</t>
  </si>
  <si>
    <t>Bilodeau, André</t>
  </si>
  <si>
    <t xml:space="preserve">Bouchard, Lise </t>
  </si>
  <si>
    <t>Drolet, Thomas</t>
  </si>
  <si>
    <t>Côté, François</t>
  </si>
  <si>
    <t>Parent, Thomas</t>
  </si>
  <si>
    <t>Gagnon, Andrée</t>
  </si>
  <si>
    <t>Dawg, Babie</t>
  </si>
  <si>
    <t>Boyer, Wiz</t>
  </si>
  <si>
    <t>Dogg, Snoop</t>
  </si>
  <si>
    <t>Su, Lorita</t>
  </si>
  <si>
    <t>Comportement organisationnel</t>
  </si>
  <si>
    <t>MNG-10016</t>
  </si>
  <si>
    <t>MNG-25432</t>
  </si>
  <si>
    <t>MNG-62015</t>
  </si>
  <si>
    <t>MNG-80286</t>
  </si>
  <si>
    <t>MNG-67845</t>
  </si>
  <si>
    <t>MDD-80219</t>
  </si>
  <si>
    <t>MDD-66809</t>
  </si>
  <si>
    <t>MDD-66842</t>
  </si>
  <si>
    <t>MDD-80214</t>
  </si>
  <si>
    <t>MDD-65122</t>
  </si>
  <si>
    <t>Gestion de projets II</t>
  </si>
  <si>
    <t>L'Analyse fonctionnelle II</t>
  </si>
  <si>
    <t>Mod. Mentaux et stress à l'école</t>
  </si>
  <si>
    <t>Introduction à la gestion</t>
  </si>
  <si>
    <t>Stage en gériatrie</t>
  </si>
  <si>
    <t>Stage en gynécologie</t>
  </si>
  <si>
    <t>Stage en physiatrie</t>
  </si>
  <si>
    <t>Stage en milieu hospitalier IV</t>
  </si>
  <si>
    <t>Anatomie descriptive avancée II</t>
  </si>
  <si>
    <t>IDUtil</t>
  </si>
  <si>
    <t>Code Session</t>
  </si>
  <si>
    <t>Automne 2010</t>
  </si>
  <si>
    <t>Été 2010</t>
  </si>
  <si>
    <t>Hiver 2010</t>
  </si>
  <si>
    <t>Automne 2009</t>
  </si>
  <si>
    <t>Été 2009</t>
  </si>
  <si>
    <t>Hiver 2009</t>
  </si>
  <si>
    <t>Automne 2008</t>
  </si>
  <si>
    <t>Été 2008</t>
  </si>
  <si>
    <t>Hiver 2008</t>
  </si>
  <si>
    <t>Automne 2007</t>
  </si>
  <si>
    <t>Été 2007</t>
  </si>
  <si>
    <t>Hiver 2007</t>
  </si>
  <si>
    <t>Allocation</t>
  </si>
  <si>
    <t>Salaire</t>
  </si>
  <si>
    <t>Tour de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</si>
</sst>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indexed="30"/>
      <name val="Arial"/>
      <family val="2"/>
    </font>
    <font>
      <sz val="11"/>
      <color indexed="10"/>
      <name val="Arial"/>
      <family val="2"/>
    </font>
    <font>
      <sz val="11"/>
      <name val="Arial"/>
      <family val="2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6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21"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  <dxf>
      <fill>
        <patternFill>
          <bgColor rgb="FF3399FF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27"/>
  <sheetViews>
    <sheetView topLeftCell="G1" workbookViewId="0">
      <selection activeCell="O6" sqref="O6"/>
    </sheetView>
  </sheetViews>
  <sheetFormatPr defaultRowHeight="14.5" x14ac:dyDescent="0.35"/>
  <cols>
    <col min="3" max="3" width="11.6328125" bestFit="1" customWidth="1"/>
    <col min="4" max="4" width="13.08984375" bestFit="1" customWidth="1"/>
    <col min="5" max="5" width="10.7265625" bestFit="1" customWidth="1"/>
    <col min="8" max="8" width="28.08984375" bestFit="1" customWidth="1"/>
    <col min="10" max="10" width="8.54296875" bestFit="1" customWidth="1"/>
    <col min="11" max="11" width="17.1796875" bestFit="1" customWidth="1"/>
    <col min="12" max="12" width="16.7265625" bestFit="1" customWidth="1"/>
    <col min="13" max="13" width="9.453125" bestFit="1" customWidth="1"/>
    <col min="16" max="16" width="10.81640625" bestFit="1" customWidth="1"/>
    <col min="29" max="29" width="11.7265625" bestFit="1" customWidth="1"/>
    <col min="30" max="30" width="13.08984375" bestFit="1" customWidth="1"/>
    <col min="31" max="32" width="7.90625" bestFit="1" customWidth="1"/>
    <col min="33" max="33" width="9.6328125" bestFit="1" customWidth="1"/>
    <col min="34" max="34" width="13.08984375" bestFit="1" customWidth="1"/>
    <col min="35" max="36" width="7.90625" bestFit="1" customWidth="1"/>
    <col min="37" max="37" width="9.6328125" bestFit="1" customWidth="1"/>
    <col min="38" max="38" width="13.08984375" bestFit="1" customWidth="1"/>
    <col min="39" max="40" width="7.90625" bestFit="1" customWidth="1"/>
    <col min="41" max="41" width="9.6328125" bestFit="1" customWidth="1"/>
    <col min="42" max="42" width="13.08984375" bestFit="1" customWidth="1"/>
    <col min="43" max="44" width="7.90625" bestFit="1" customWidth="1"/>
    <col min="45" max="45" width="9.6328125" bestFit="1" customWidth="1"/>
  </cols>
  <sheetData>
    <row r="1" spans="1:4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106</v>
      </c>
      <c r="O1" t="s">
        <v>107</v>
      </c>
      <c r="P1" t="s">
        <v>92</v>
      </c>
      <c r="AC1" s="4" t="s">
        <v>93</v>
      </c>
      <c r="AD1" s="4">
        <v>201004</v>
      </c>
      <c r="AE1" s="4">
        <v>201003</v>
      </c>
      <c r="AF1" s="4">
        <v>201002</v>
      </c>
      <c r="AG1" s="4">
        <v>201001</v>
      </c>
      <c r="AH1" s="4">
        <v>200904</v>
      </c>
      <c r="AI1" s="4">
        <v>200903</v>
      </c>
      <c r="AJ1" s="4">
        <v>200902</v>
      </c>
      <c r="AK1" s="4">
        <v>200901</v>
      </c>
      <c r="AL1" s="4">
        <v>200804</v>
      </c>
      <c r="AM1" s="4">
        <v>200803</v>
      </c>
      <c r="AN1" s="4">
        <v>200802</v>
      </c>
      <c r="AO1" s="4">
        <v>200801</v>
      </c>
      <c r="AP1" s="4">
        <v>200704</v>
      </c>
      <c r="AQ1" s="4">
        <v>200703</v>
      </c>
      <c r="AR1" s="4">
        <v>200702</v>
      </c>
      <c r="AS1" s="4">
        <v>200701</v>
      </c>
    </row>
    <row r="2" spans="1:45" x14ac:dyDescent="0.35">
      <c r="A2" s="1">
        <v>2900</v>
      </c>
      <c r="B2" s="3" t="str">
        <f t="shared" ref="B2:B26" si="0">LEFT(Unité,2)</f>
        <v>29</v>
      </c>
      <c r="C2" s="2">
        <v>200904</v>
      </c>
      <c r="D2" t="str">
        <f t="shared" ref="D2:D26" si="1">HLOOKUP(C2,CodeSession,2,FALSE)</f>
        <v>Automne 2009</v>
      </c>
      <c r="E2" t="s">
        <v>8</v>
      </c>
      <c r="F2">
        <v>1</v>
      </c>
      <c r="G2" s="3" t="s">
        <v>23</v>
      </c>
      <c r="H2" t="s">
        <v>26</v>
      </c>
      <c r="I2">
        <v>3</v>
      </c>
      <c r="J2">
        <v>22</v>
      </c>
      <c r="K2" t="s">
        <v>46</v>
      </c>
      <c r="L2" t="s">
        <v>59</v>
      </c>
      <c r="M2">
        <v>2262</v>
      </c>
      <c r="N2">
        <f t="shared" ref="N2:N26" si="2">IF(OR(AND(Nb.étud.&gt;60,cycle=1),AND(Nb.étud.&gt;20,cycle=2)),9+(IF(AND(Nb.étud.&gt;60,cycle=1),(Nb.étud.-60)*2,IF(AND(Nb.étud.&gt;20,cycle=2),(Nb.étud.-20)*2,IF(AND(Nb.étud.&gt;20,cycle=3),(Nb.étud.-20)*2,0)))*IF(Crédits=4,1.27,IF(Crédits=2,0.78,IF(Crédits=6,1.4,1)))-IF(section="A",2,0)),IF(AND(Nb.étud.&gt;20,cycle=3),11+(IF(AND(Nb.étud.&gt;60,cycle=1),(Nb.étud.-60)*2,IF(AND(Nb.étud.&gt;20,cycle=2),(Nb.étud.-20)*2,IF(AND(Nb.étud.&gt;20,cycle=3),(Nb.étud.-20)*2,0)))*IF(Crédits=4,1.27,IF(Crédits=2,0.78,IF(Crédits=6,1.4,1)))-IF(section="A",2,0)),0))</f>
        <v>0</v>
      </c>
      <c r="O2">
        <f t="shared" ref="O2:O26" si="3">Allocation*IF(Statut="Chargé cours",45,70)</f>
        <v>0</v>
      </c>
      <c r="P2" t="str">
        <f>CONCATENATE(MID(RIGHT(K2,LEN(K2)-FIND(" ",K2)),1,2),LEFT(K2,3),ROW(), IF(Statut="Chargé cours","CC","PR"))</f>
        <v>JoMai2CC</v>
      </c>
      <c r="AC2" s="4" t="s">
        <v>3</v>
      </c>
      <c r="AD2" s="4" t="s">
        <v>94</v>
      </c>
      <c r="AE2" s="4" t="s">
        <v>95</v>
      </c>
      <c r="AF2" s="4" t="s">
        <v>95</v>
      </c>
      <c r="AG2" s="4" t="s">
        <v>96</v>
      </c>
      <c r="AH2" s="4" t="s">
        <v>97</v>
      </c>
      <c r="AI2" s="4" t="s">
        <v>98</v>
      </c>
      <c r="AJ2" s="4" t="s">
        <v>98</v>
      </c>
      <c r="AK2" s="4" t="s">
        <v>99</v>
      </c>
      <c r="AL2" s="4" t="s">
        <v>100</v>
      </c>
      <c r="AM2" s="4" t="s">
        <v>101</v>
      </c>
      <c r="AN2" s="4" t="s">
        <v>101</v>
      </c>
      <c r="AO2" s="4" t="s">
        <v>102</v>
      </c>
      <c r="AP2" s="4" t="s">
        <v>103</v>
      </c>
      <c r="AQ2" s="4" t="s">
        <v>104</v>
      </c>
      <c r="AR2" s="4" t="s">
        <v>104</v>
      </c>
      <c r="AS2" s="4" t="s">
        <v>105</v>
      </c>
    </row>
    <row r="3" spans="1:45" x14ac:dyDescent="0.35">
      <c r="A3" s="1">
        <v>2900</v>
      </c>
      <c r="B3" s="3" t="str">
        <f t="shared" si="0"/>
        <v>29</v>
      </c>
      <c r="C3" s="2">
        <v>200804</v>
      </c>
      <c r="D3" t="str">
        <f t="shared" si="1"/>
        <v>Automne 2008</v>
      </c>
      <c r="E3" t="s">
        <v>9</v>
      </c>
      <c r="F3">
        <v>2</v>
      </c>
      <c r="G3" s="3" t="s">
        <v>23</v>
      </c>
      <c r="H3" t="s">
        <v>27</v>
      </c>
      <c r="I3">
        <v>3</v>
      </c>
      <c r="J3">
        <v>20</v>
      </c>
      <c r="K3" t="s">
        <v>47</v>
      </c>
      <c r="L3" t="s">
        <v>59</v>
      </c>
      <c r="M3">
        <v>6678</v>
      </c>
      <c r="N3">
        <f t="shared" si="2"/>
        <v>0</v>
      </c>
      <c r="O3">
        <f t="shared" si="3"/>
        <v>0</v>
      </c>
      <c r="P3" t="str">
        <f t="shared" ref="P3:P26" si="4">CONCATENATE(MID(RIGHT(K3,LEN(K3)-FIND(" ",K3)),1,2),LEFT(K3,3),ROW(), IF(Statut="Chargé cours","CC","PR"))</f>
        <v>JoLar3CC</v>
      </c>
    </row>
    <row r="4" spans="1:45" x14ac:dyDescent="0.35">
      <c r="A4" s="1">
        <v>2900</v>
      </c>
      <c r="B4" s="3" t="str">
        <f t="shared" si="0"/>
        <v>29</v>
      </c>
      <c r="C4" s="2">
        <v>200701</v>
      </c>
      <c r="D4" t="str">
        <f t="shared" si="1"/>
        <v>Hiver 2007</v>
      </c>
      <c r="E4" t="s">
        <v>10</v>
      </c>
      <c r="F4">
        <v>2</v>
      </c>
      <c r="G4" s="3" t="s">
        <v>23</v>
      </c>
      <c r="H4" t="s">
        <v>28</v>
      </c>
      <c r="I4">
        <v>3</v>
      </c>
      <c r="J4">
        <v>15</v>
      </c>
      <c r="K4" t="s">
        <v>48</v>
      </c>
      <c r="L4" t="s">
        <v>59</v>
      </c>
      <c r="M4">
        <v>6570</v>
      </c>
      <c r="N4">
        <f t="shared" si="2"/>
        <v>0</v>
      </c>
      <c r="O4">
        <f t="shared" si="3"/>
        <v>0</v>
      </c>
      <c r="P4" t="str">
        <f t="shared" si="4"/>
        <v>LoRoy4CC</v>
      </c>
    </row>
    <row r="5" spans="1:45" x14ac:dyDescent="0.35">
      <c r="A5" s="1">
        <v>2900</v>
      </c>
      <c r="B5" s="3" t="str">
        <f t="shared" si="0"/>
        <v>29</v>
      </c>
      <c r="C5" s="2">
        <v>200701</v>
      </c>
      <c r="D5" t="str">
        <f t="shared" si="1"/>
        <v>Hiver 2007</v>
      </c>
      <c r="E5" t="s">
        <v>11</v>
      </c>
      <c r="F5">
        <v>2</v>
      </c>
      <c r="G5" s="3" t="s">
        <v>23</v>
      </c>
      <c r="H5" t="s">
        <v>29</v>
      </c>
      <c r="I5">
        <v>3</v>
      </c>
      <c r="J5">
        <v>26</v>
      </c>
      <c r="K5" t="s">
        <v>49</v>
      </c>
      <c r="L5" t="s">
        <v>59</v>
      </c>
      <c r="M5">
        <v>6614</v>
      </c>
      <c r="N5">
        <f t="shared" si="2"/>
        <v>21</v>
      </c>
      <c r="O5">
        <f t="shared" si="3"/>
        <v>945</v>
      </c>
      <c r="P5" t="str">
        <f t="shared" si="4"/>
        <v>NaAub5CC</v>
      </c>
    </row>
    <row r="6" spans="1:45" x14ac:dyDescent="0.35">
      <c r="A6" s="1">
        <v>2900</v>
      </c>
      <c r="B6" s="3" t="str">
        <f t="shared" si="0"/>
        <v>29</v>
      </c>
      <c r="C6" s="2">
        <v>200902</v>
      </c>
      <c r="D6" t="str">
        <f t="shared" si="1"/>
        <v>Été 2009</v>
      </c>
      <c r="E6" t="s">
        <v>12</v>
      </c>
      <c r="F6">
        <v>2</v>
      </c>
      <c r="G6" s="3" t="s">
        <v>23</v>
      </c>
      <c r="H6" t="s">
        <v>30</v>
      </c>
      <c r="I6">
        <v>3</v>
      </c>
      <c r="J6">
        <v>21</v>
      </c>
      <c r="K6" t="s">
        <v>50</v>
      </c>
      <c r="L6" t="s">
        <v>59</v>
      </c>
      <c r="M6">
        <v>6542</v>
      </c>
      <c r="N6">
        <f t="shared" si="2"/>
        <v>11</v>
      </c>
      <c r="O6">
        <f t="shared" si="3"/>
        <v>495</v>
      </c>
      <c r="P6" t="str">
        <f t="shared" si="4"/>
        <v>DeLac6CC</v>
      </c>
    </row>
    <row r="7" spans="1:45" x14ac:dyDescent="0.35">
      <c r="A7" s="1">
        <v>2900</v>
      </c>
      <c r="B7" s="3" t="str">
        <f t="shared" si="0"/>
        <v>29</v>
      </c>
      <c r="C7" s="2">
        <v>200903</v>
      </c>
      <c r="D7" t="str">
        <f t="shared" si="1"/>
        <v>Été 2009</v>
      </c>
      <c r="E7" t="s">
        <v>13</v>
      </c>
      <c r="F7">
        <v>2</v>
      </c>
      <c r="G7" s="3" t="s">
        <v>23</v>
      </c>
      <c r="H7" t="s">
        <v>31</v>
      </c>
      <c r="I7">
        <v>3</v>
      </c>
      <c r="J7">
        <v>22</v>
      </c>
      <c r="K7" t="s">
        <v>52</v>
      </c>
      <c r="L7" t="s">
        <v>59</v>
      </c>
      <c r="M7">
        <v>6505</v>
      </c>
      <c r="N7">
        <f t="shared" si="2"/>
        <v>13</v>
      </c>
      <c r="O7">
        <f t="shared" si="3"/>
        <v>585</v>
      </c>
      <c r="P7" t="str">
        <f t="shared" si="4"/>
        <v>DoPoi7CC</v>
      </c>
    </row>
    <row r="8" spans="1:45" x14ac:dyDescent="0.35">
      <c r="A8" s="1">
        <v>2900</v>
      </c>
      <c r="B8" s="3" t="str">
        <f t="shared" si="0"/>
        <v>29</v>
      </c>
      <c r="C8" s="2">
        <v>200903</v>
      </c>
      <c r="D8" t="str">
        <f t="shared" si="1"/>
        <v>Été 2009</v>
      </c>
      <c r="E8" t="s">
        <v>14</v>
      </c>
      <c r="F8">
        <v>2</v>
      </c>
      <c r="G8" s="3" t="s">
        <v>23</v>
      </c>
      <c r="H8" t="s">
        <v>32</v>
      </c>
      <c r="I8">
        <v>3</v>
      </c>
      <c r="J8">
        <v>26</v>
      </c>
      <c r="K8" t="s">
        <v>51</v>
      </c>
      <c r="L8" t="s">
        <v>59</v>
      </c>
      <c r="M8">
        <v>6602</v>
      </c>
      <c r="N8">
        <f t="shared" si="2"/>
        <v>21</v>
      </c>
      <c r="O8">
        <f t="shared" si="3"/>
        <v>945</v>
      </c>
      <c r="P8" t="str">
        <f t="shared" si="4"/>
        <v>CéBol8CC</v>
      </c>
    </row>
    <row r="9" spans="1:45" x14ac:dyDescent="0.35">
      <c r="A9" s="1">
        <v>2900</v>
      </c>
      <c r="B9" s="3" t="str">
        <f t="shared" si="0"/>
        <v>29</v>
      </c>
      <c r="C9" s="2">
        <v>201004</v>
      </c>
      <c r="D9" t="str">
        <f t="shared" si="1"/>
        <v>Automne 2010</v>
      </c>
      <c r="E9" t="s">
        <v>15</v>
      </c>
      <c r="F9">
        <v>2</v>
      </c>
      <c r="G9" s="3" t="s">
        <v>23</v>
      </c>
      <c r="H9" t="s">
        <v>33</v>
      </c>
      <c r="I9">
        <v>3</v>
      </c>
      <c r="J9">
        <v>18</v>
      </c>
      <c r="K9" t="s">
        <v>53</v>
      </c>
      <c r="L9" t="s">
        <v>59</v>
      </c>
      <c r="M9">
        <v>6488</v>
      </c>
      <c r="N9">
        <f t="shared" si="2"/>
        <v>0</v>
      </c>
      <c r="O9">
        <f t="shared" si="3"/>
        <v>0</v>
      </c>
      <c r="P9" t="str">
        <f t="shared" si="4"/>
        <v>ÉrPro9CC</v>
      </c>
    </row>
    <row r="10" spans="1:45" x14ac:dyDescent="0.35">
      <c r="A10" s="1">
        <v>3100</v>
      </c>
      <c r="B10" s="3" t="str">
        <f t="shared" si="0"/>
        <v>31</v>
      </c>
      <c r="C10" s="2">
        <v>200903</v>
      </c>
      <c r="D10" t="str">
        <f t="shared" si="1"/>
        <v>Été 2009</v>
      </c>
      <c r="E10" t="s">
        <v>16</v>
      </c>
      <c r="F10">
        <v>2</v>
      </c>
      <c r="G10" s="3" t="s">
        <v>24</v>
      </c>
      <c r="H10" t="s">
        <v>34</v>
      </c>
      <c r="I10">
        <v>2</v>
      </c>
      <c r="J10">
        <v>3</v>
      </c>
      <c r="K10" t="s">
        <v>54</v>
      </c>
      <c r="L10" t="s">
        <v>60</v>
      </c>
      <c r="M10">
        <v>6625</v>
      </c>
      <c r="N10">
        <f t="shared" si="2"/>
        <v>0</v>
      </c>
      <c r="O10">
        <f t="shared" si="3"/>
        <v>0</v>
      </c>
      <c r="P10" t="str">
        <f t="shared" si="4"/>
        <v>LyNic10PR</v>
      </c>
    </row>
    <row r="11" spans="1:45" x14ac:dyDescent="0.35">
      <c r="A11" s="1">
        <v>3100</v>
      </c>
      <c r="B11" s="3" t="str">
        <f t="shared" si="0"/>
        <v>31</v>
      </c>
      <c r="C11" s="2">
        <v>200701</v>
      </c>
      <c r="D11" t="str">
        <f t="shared" si="1"/>
        <v>Hiver 2007</v>
      </c>
      <c r="E11" t="s">
        <v>17</v>
      </c>
      <c r="F11">
        <v>2</v>
      </c>
      <c r="G11" s="3" t="s">
        <v>24</v>
      </c>
      <c r="H11" t="s">
        <v>35</v>
      </c>
      <c r="I11">
        <v>4</v>
      </c>
      <c r="J11">
        <v>2</v>
      </c>
      <c r="K11" t="s">
        <v>55</v>
      </c>
      <c r="L11" t="s">
        <v>61</v>
      </c>
      <c r="M11">
        <v>6323</v>
      </c>
      <c r="N11">
        <f t="shared" si="2"/>
        <v>0</v>
      </c>
      <c r="O11">
        <f t="shared" si="3"/>
        <v>0</v>
      </c>
      <c r="P11" t="str">
        <f t="shared" si="4"/>
        <v>DeDes11PR</v>
      </c>
    </row>
    <row r="12" spans="1:45" x14ac:dyDescent="0.35">
      <c r="A12" s="1">
        <v>3100</v>
      </c>
      <c r="B12" s="3" t="str">
        <f t="shared" si="0"/>
        <v>31</v>
      </c>
      <c r="C12" s="2">
        <v>200702</v>
      </c>
      <c r="D12" t="str">
        <f t="shared" si="1"/>
        <v>Été 2007</v>
      </c>
      <c r="E12" t="s">
        <v>18</v>
      </c>
      <c r="F12">
        <v>1</v>
      </c>
      <c r="G12" s="3" t="s">
        <v>24</v>
      </c>
      <c r="H12" t="s">
        <v>36</v>
      </c>
      <c r="I12">
        <v>4</v>
      </c>
      <c r="J12">
        <v>2</v>
      </c>
      <c r="K12" t="s">
        <v>56</v>
      </c>
      <c r="L12" t="s">
        <v>60</v>
      </c>
      <c r="M12">
        <v>8021</v>
      </c>
      <c r="N12">
        <f t="shared" si="2"/>
        <v>0</v>
      </c>
      <c r="O12">
        <f t="shared" si="3"/>
        <v>0</v>
      </c>
      <c r="P12" t="str">
        <f t="shared" si="4"/>
        <v>PiLan12PR</v>
      </c>
    </row>
    <row r="13" spans="1:45" x14ac:dyDescent="0.35">
      <c r="A13" s="1">
        <v>3100</v>
      </c>
      <c r="B13" s="3" t="str">
        <f t="shared" si="0"/>
        <v>31</v>
      </c>
      <c r="C13" s="2">
        <v>200803</v>
      </c>
      <c r="D13" t="str">
        <f t="shared" si="1"/>
        <v>Été 2008</v>
      </c>
      <c r="E13" t="s">
        <v>19</v>
      </c>
      <c r="F13">
        <v>1</v>
      </c>
      <c r="G13" s="3" t="s">
        <v>24</v>
      </c>
      <c r="H13" t="s">
        <v>37</v>
      </c>
      <c r="I13">
        <v>4</v>
      </c>
      <c r="J13">
        <v>2</v>
      </c>
      <c r="K13" t="s">
        <v>56</v>
      </c>
      <c r="L13" t="s">
        <v>60</v>
      </c>
      <c r="M13">
        <v>8021</v>
      </c>
      <c r="N13">
        <f t="shared" si="2"/>
        <v>0</v>
      </c>
      <c r="O13">
        <f t="shared" si="3"/>
        <v>0</v>
      </c>
      <c r="P13" t="str">
        <f t="shared" si="4"/>
        <v>PiLan13PR</v>
      </c>
    </row>
    <row r="14" spans="1:45" x14ac:dyDescent="0.35">
      <c r="A14" s="1">
        <v>3100</v>
      </c>
      <c r="B14" s="3" t="str">
        <f t="shared" si="0"/>
        <v>31</v>
      </c>
      <c r="C14" s="2">
        <v>200904</v>
      </c>
      <c r="D14" t="str">
        <f t="shared" si="1"/>
        <v>Automne 2009</v>
      </c>
      <c r="E14" t="s">
        <v>20</v>
      </c>
      <c r="F14">
        <v>1</v>
      </c>
      <c r="G14" s="3" t="s">
        <v>24</v>
      </c>
      <c r="H14" t="s">
        <v>38</v>
      </c>
      <c r="I14">
        <v>4</v>
      </c>
      <c r="J14">
        <v>2</v>
      </c>
      <c r="K14" t="s">
        <v>56</v>
      </c>
      <c r="L14" t="s">
        <v>60</v>
      </c>
      <c r="M14">
        <v>8021</v>
      </c>
      <c r="N14">
        <f t="shared" si="2"/>
        <v>0</v>
      </c>
      <c r="O14">
        <f t="shared" si="3"/>
        <v>0</v>
      </c>
      <c r="P14" t="str">
        <f t="shared" si="4"/>
        <v>PiLan14PR</v>
      </c>
    </row>
    <row r="15" spans="1:45" x14ac:dyDescent="0.35">
      <c r="A15" s="1">
        <v>3100</v>
      </c>
      <c r="B15" s="3" t="str">
        <f t="shared" si="0"/>
        <v>31</v>
      </c>
      <c r="C15" s="2">
        <v>200904</v>
      </c>
      <c r="D15" t="str">
        <f t="shared" si="1"/>
        <v>Automne 2009</v>
      </c>
      <c r="E15" t="s">
        <v>21</v>
      </c>
      <c r="F15">
        <v>2</v>
      </c>
      <c r="G15" s="3" t="s">
        <v>24</v>
      </c>
      <c r="H15" t="s">
        <v>39</v>
      </c>
      <c r="I15">
        <v>2</v>
      </c>
      <c r="J15">
        <v>2</v>
      </c>
      <c r="K15" t="s">
        <v>57</v>
      </c>
      <c r="L15" t="s">
        <v>60</v>
      </c>
      <c r="M15">
        <v>6644</v>
      </c>
      <c r="N15">
        <f t="shared" si="2"/>
        <v>0</v>
      </c>
      <c r="O15">
        <f t="shared" si="3"/>
        <v>0</v>
      </c>
      <c r="P15" t="str">
        <f t="shared" si="4"/>
        <v>LuGia15PR</v>
      </c>
    </row>
    <row r="16" spans="1:45" x14ac:dyDescent="0.35">
      <c r="A16" s="1">
        <v>3201</v>
      </c>
      <c r="B16" s="3" t="str">
        <f t="shared" si="0"/>
        <v>32</v>
      </c>
      <c r="C16" s="2">
        <v>200702</v>
      </c>
      <c r="D16" t="str">
        <f t="shared" si="1"/>
        <v>Été 2007</v>
      </c>
      <c r="E16" t="s">
        <v>22</v>
      </c>
      <c r="F16">
        <v>1</v>
      </c>
      <c r="G16" s="3" t="s">
        <v>25</v>
      </c>
      <c r="H16" t="s">
        <v>40</v>
      </c>
      <c r="I16">
        <v>3</v>
      </c>
      <c r="J16">
        <v>11</v>
      </c>
      <c r="K16" t="s">
        <v>58</v>
      </c>
      <c r="L16" t="s">
        <v>59</v>
      </c>
      <c r="M16">
        <v>2234</v>
      </c>
      <c r="N16">
        <f t="shared" si="2"/>
        <v>0</v>
      </c>
      <c r="O16">
        <f t="shared" si="3"/>
        <v>0</v>
      </c>
      <c r="P16" t="str">
        <f t="shared" si="4"/>
        <v>LoGui16CC</v>
      </c>
    </row>
    <row r="17" spans="1:16" x14ac:dyDescent="0.35">
      <c r="A17" s="1">
        <v>3201</v>
      </c>
      <c r="B17" s="3" t="str">
        <f t="shared" si="0"/>
        <v>32</v>
      </c>
      <c r="C17" s="2">
        <v>200903</v>
      </c>
      <c r="D17" t="str">
        <f t="shared" si="1"/>
        <v>Été 2009</v>
      </c>
      <c r="E17" t="s">
        <v>73</v>
      </c>
      <c r="F17">
        <v>2</v>
      </c>
      <c r="G17" s="3" t="s">
        <v>23</v>
      </c>
      <c r="H17" t="s">
        <v>72</v>
      </c>
      <c r="I17">
        <v>3</v>
      </c>
      <c r="J17">
        <v>21</v>
      </c>
      <c r="K17" t="s">
        <v>62</v>
      </c>
      <c r="L17" t="s">
        <v>59</v>
      </c>
      <c r="M17">
        <v>2304</v>
      </c>
      <c r="N17">
        <f t="shared" si="2"/>
        <v>11</v>
      </c>
      <c r="O17">
        <f t="shared" si="3"/>
        <v>495</v>
      </c>
      <c r="P17" t="str">
        <f t="shared" si="4"/>
        <v>AnBil17CC</v>
      </c>
    </row>
    <row r="18" spans="1:16" x14ac:dyDescent="0.35">
      <c r="A18" s="1">
        <v>3201</v>
      </c>
      <c r="B18" s="3" t="str">
        <f t="shared" si="0"/>
        <v>32</v>
      </c>
      <c r="C18" s="2">
        <v>201004</v>
      </c>
      <c r="D18" t="str">
        <f t="shared" si="1"/>
        <v>Automne 2010</v>
      </c>
      <c r="E18" t="s">
        <v>74</v>
      </c>
      <c r="F18">
        <v>2</v>
      </c>
      <c r="G18" s="3" t="s">
        <v>23</v>
      </c>
      <c r="H18" t="s">
        <v>83</v>
      </c>
      <c r="I18">
        <v>3</v>
      </c>
      <c r="J18">
        <v>12</v>
      </c>
      <c r="K18" t="s">
        <v>63</v>
      </c>
      <c r="L18" t="s">
        <v>59</v>
      </c>
      <c r="M18">
        <v>6503</v>
      </c>
      <c r="N18">
        <f t="shared" si="2"/>
        <v>0</v>
      </c>
      <c r="O18">
        <f t="shared" si="3"/>
        <v>0</v>
      </c>
      <c r="P18" t="str">
        <f t="shared" si="4"/>
        <v>LiBou18CC</v>
      </c>
    </row>
    <row r="19" spans="1:16" x14ac:dyDescent="0.35">
      <c r="A19" s="1">
        <v>3201</v>
      </c>
      <c r="B19" s="3" t="str">
        <f t="shared" si="0"/>
        <v>32</v>
      </c>
      <c r="C19" s="2">
        <v>200702</v>
      </c>
      <c r="D19" t="str">
        <f t="shared" si="1"/>
        <v>Été 2007</v>
      </c>
      <c r="E19" t="s">
        <v>75</v>
      </c>
      <c r="F19">
        <v>1</v>
      </c>
      <c r="G19" s="3" t="s">
        <v>23</v>
      </c>
      <c r="H19" t="s">
        <v>84</v>
      </c>
      <c r="I19">
        <v>4</v>
      </c>
      <c r="J19">
        <v>6</v>
      </c>
      <c r="K19" t="s">
        <v>64</v>
      </c>
      <c r="L19" t="s">
        <v>59</v>
      </c>
      <c r="M19">
        <v>2100</v>
      </c>
      <c r="N19">
        <f t="shared" si="2"/>
        <v>0</v>
      </c>
      <c r="O19">
        <f t="shared" si="3"/>
        <v>0</v>
      </c>
      <c r="P19" t="str">
        <f t="shared" si="4"/>
        <v>ThDro19CC</v>
      </c>
    </row>
    <row r="20" spans="1:16" x14ac:dyDescent="0.35">
      <c r="A20" s="1">
        <v>3201</v>
      </c>
      <c r="B20" s="3" t="str">
        <f t="shared" si="0"/>
        <v>32</v>
      </c>
      <c r="C20" s="2">
        <v>200903</v>
      </c>
      <c r="D20" t="str">
        <f t="shared" si="1"/>
        <v>Été 2009</v>
      </c>
      <c r="E20" t="s">
        <v>76</v>
      </c>
      <c r="F20">
        <v>1</v>
      </c>
      <c r="G20" s="3" t="s">
        <v>24</v>
      </c>
      <c r="H20" t="s">
        <v>85</v>
      </c>
      <c r="I20">
        <v>4</v>
      </c>
      <c r="J20">
        <v>61</v>
      </c>
      <c r="K20" t="s">
        <v>65</v>
      </c>
      <c r="L20" t="s">
        <v>59</v>
      </c>
      <c r="M20">
        <v>3510</v>
      </c>
      <c r="N20">
        <f t="shared" si="2"/>
        <v>9.5399999999999991</v>
      </c>
      <c r="O20">
        <f t="shared" si="3"/>
        <v>429.29999999999995</v>
      </c>
      <c r="P20" t="str">
        <f t="shared" si="4"/>
        <v>FrCôt20CC</v>
      </c>
    </row>
    <row r="21" spans="1:16" x14ac:dyDescent="0.35">
      <c r="A21" s="1">
        <v>3201</v>
      </c>
      <c r="B21" s="3" t="str">
        <f t="shared" si="0"/>
        <v>32</v>
      </c>
      <c r="C21" s="2">
        <v>200904</v>
      </c>
      <c r="D21" t="str">
        <f t="shared" si="1"/>
        <v>Automne 2009</v>
      </c>
      <c r="E21" t="s">
        <v>77</v>
      </c>
      <c r="F21">
        <v>2</v>
      </c>
      <c r="G21" s="3" t="s">
        <v>24</v>
      </c>
      <c r="H21" t="s">
        <v>86</v>
      </c>
      <c r="I21">
        <v>4</v>
      </c>
      <c r="J21">
        <v>7</v>
      </c>
      <c r="K21" t="s">
        <v>66</v>
      </c>
      <c r="L21" t="s">
        <v>60</v>
      </c>
      <c r="M21">
        <v>6240</v>
      </c>
      <c r="N21">
        <f t="shared" si="2"/>
        <v>0</v>
      </c>
      <c r="O21">
        <f t="shared" si="3"/>
        <v>0</v>
      </c>
      <c r="P21" t="str">
        <f t="shared" si="4"/>
        <v>ThPar21PR</v>
      </c>
    </row>
    <row r="22" spans="1:16" x14ac:dyDescent="0.35">
      <c r="A22" s="1">
        <v>3300</v>
      </c>
      <c r="B22" s="3" t="str">
        <f t="shared" si="0"/>
        <v>33</v>
      </c>
      <c r="C22" s="2">
        <v>200903</v>
      </c>
      <c r="D22" t="str">
        <f t="shared" si="1"/>
        <v>Été 2009</v>
      </c>
      <c r="E22" t="s">
        <v>78</v>
      </c>
      <c r="F22">
        <v>2</v>
      </c>
      <c r="G22" s="3" t="s">
        <v>25</v>
      </c>
      <c r="H22" t="s">
        <v>87</v>
      </c>
      <c r="I22">
        <v>2</v>
      </c>
      <c r="J22">
        <v>25</v>
      </c>
      <c r="K22" t="s">
        <v>67</v>
      </c>
      <c r="L22" t="s">
        <v>60</v>
      </c>
      <c r="M22">
        <v>2145</v>
      </c>
      <c r="N22">
        <f t="shared" si="2"/>
        <v>16.8</v>
      </c>
      <c r="O22">
        <f t="shared" si="3"/>
        <v>1176</v>
      </c>
      <c r="P22" t="str">
        <f t="shared" si="4"/>
        <v>AnGag22PR</v>
      </c>
    </row>
    <row r="23" spans="1:16" x14ac:dyDescent="0.35">
      <c r="A23" s="1">
        <v>3300</v>
      </c>
      <c r="B23" s="3" t="str">
        <f t="shared" si="0"/>
        <v>33</v>
      </c>
      <c r="C23" s="2">
        <v>200903</v>
      </c>
      <c r="D23" t="str">
        <f t="shared" si="1"/>
        <v>Été 2009</v>
      </c>
      <c r="E23" t="s">
        <v>79</v>
      </c>
      <c r="F23">
        <v>2</v>
      </c>
      <c r="G23" s="3" t="s">
        <v>24</v>
      </c>
      <c r="H23" t="s">
        <v>88</v>
      </c>
      <c r="I23">
        <v>2</v>
      </c>
      <c r="J23">
        <v>5</v>
      </c>
      <c r="K23" t="s">
        <v>68</v>
      </c>
      <c r="L23" t="s">
        <v>59</v>
      </c>
      <c r="M23">
        <v>2689</v>
      </c>
      <c r="N23">
        <f t="shared" si="2"/>
        <v>0</v>
      </c>
      <c r="O23">
        <f t="shared" si="3"/>
        <v>0</v>
      </c>
      <c r="P23" t="str">
        <f t="shared" si="4"/>
        <v>BaDaw23CC</v>
      </c>
    </row>
    <row r="24" spans="1:16" x14ac:dyDescent="0.35">
      <c r="A24" s="1">
        <v>3300</v>
      </c>
      <c r="B24" s="3" t="str">
        <f t="shared" si="0"/>
        <v>33</v>
      </c>
      <c r="C24" s="2">
        <v>201004</v>
      </c>
      <c r="D24" t="str">
        <f t="shared" si="1"/>
        <v>Automne 2010</v>
      </c>
      <c r="E24" t="s">
        <v>80</v>
      </c>
      <c r="F24">
        <v>3</v>
      </c>
      <c r="G24" s="3" t="s">
        <v>24</v>
      </c>
      <c r="H24" t="s">
        <v>89</v>
      </c>
      <c r="I24">
        <v>6</v>
      </c>
      <c r="J24">
        <v>2</v>
      </c>
      <c r="K24" t="s">
        <v>69</v>
      </c>
      <c r="L24" t="s">
        <v>60</v>
      </c>
      <c r="M24">
        <v>6894</v>
      </c>
      <c r="N24">
        <f t="shared" si="2"/>
        <v>0</v>
      </c>
      <c r="O24">
        <f t="shared" si="3"/>
        <v>0</v>
      </c>
      <c r="P24" t="str">
        <f t="shared" si="4"/>
        <v>WiBoy24PR</v>
      </c>
    </row>
    <row r="25" spans="1:16" x14ac:dyDescent="0.35">
      <c r="A25" s="1">
        <v>3300</v>
      </c>
      <c r="B25" s="3" t="str">
        <f t="shared" si="0"/>
        <v>33</v>
      </c>
      <c r="C25" s="2">
        <v>200701</v>
      </c>
      <c r="D25" t="str">
        <f t="shared" si="1"/>
        <v>Hiver 2007</v>
      </c>
      <c r="E25" t="s">
        <v>81</v>
      </c>
      <c r="F25">
        <v>3</v>
      </c>
      <c r="G25" s="3" t="s">
        <v>24</v>
      </c>
      <c r="H25" t="s">
        <v>90</v>
      </c>
      <c r="I25">
        <v>2</v>
      </c>
      <c r="J25">
        <v>21</v>
      </c>
      <c r="K25" t="s">
        <v>70</v>
      </c>
      <c r="L25" t="s">
        <v>60</v>
      </c>
      <c r="M25">
        <v>3598</v>
      </c>
      <c r="N25">
        <f t="shared" si="2"/>
        <v>10.56</v>
      </c>
      <c r="O25">
        <f t="shared" si="3"/>
        <v>739.2</v>
      </c>
      <c r="P25" t="str">
        <f t="shared" si="4"/>
        <v>SnDog25PR</v>
      </c>
    </row>
    <row r="26" spans="1:16" x14ac:dyDescent="0.35">
      <c r="A26" s="1">
        <v>3300</v>
      </c>
      <c r="B26" s="3" t="str">
        <f t="shared" si="0"/>
        <v>33</v>
      </c>
      <c r="C26" s="2">
        <v>200702</v>
      </c>
      <c r="D26" t="str">
        <f t="shared" si="1"/>
        <v>Été 2007</v>
      </c>
      <c r="E26" t="s">
        <v>82</v>
      </c>
      <c r="F26">
        <v>3</v>
      </c>
      <c r="G26" s="3" t="s">
        <v>24</v>
      </c>
      <c r="H26" t="s">
        <v>91</v>
      </c>
      <c r="I26">
        <v>3</v>
      </c>
      <c r="J26">
        <v>15</v>
      </c>
      <c r="K26" t="s">
        <v>71</v>
      </c>
      <c r="L26" t="s">
        <v>59</v>
      </c>
      <c r="M26">
        <v>6413</v>
      </c>
      <c r="N26">
        <f t="shared" si="2"/>
        <v>0</v>
      </c>
      <c r="O26">
        <f t="shared" si="3"/>
        <v>0</v>
      </c>
      <c r="P26" t="str">
        <f t="shared" si="4"/>
        <v>LoSu,26CC</v>
      </c>
    </row>
    <row r="27" spans="1:16" x14ac:dyDescent="0.35">
      <c r="N27">
        <f>SUM(Allocation)</f>
        <v>113.89999999999999</v>
      </c>
      <c r="O27">
        <f>SUM(O2:O26)</f>
        <v>5809.5</v>
      </c>
    </row>
  </sheetData>
  <conditionalFormatting sqref="A2:M2 E17:K26 M17:M26 E3:M16 D3:D26 C3:C16 A3:B26">
    <cfRule type="expression" dxfId="20" priority="23">
      <formula>"'=mod(ligne();2)+1=1"</formula>
    </cfRule>
  </conditionalFormatting>
  <conditionalFormatting sqref="C17">
    <cfRule type="expression" dxfId="19" priority="22">
      <formula>"'=mod(ligne();2)+1=1"</formula>
    </cfRule>
  </conditionalFormatting>
  <conditionalFormatting sqref="C20">
    <cfRule type="expression" dxfId="18" priority="21">
      <formula>"'=mod(ligne();2)+1=1"</formula>
    </cfRule>
  </conditionalFormatting>
  <conditionalFormatting sqref="C22">
    <cfRule type="expression" dxfId="17" priority="20">
      <formula>"'=mod(ligne();2)+1=1"</formula>
    </cfRule>
  </conditionalFormatting>
  <conditionalFormatting sqref="C23">
    <cfRule type="expression" dxfId="16" priority="19">
      <formula>"'=mod(ligne();2)+1=1"</formula>
    </cfRule>
  </conditionalFormatting>
  <conditionalFormatting sqref="C21">
    <cfRule type="expression" dxfId="15" priority="18">
      <formula>"'=mod(ligne();2)+1=1"</formula>
    </cfRule>
  </conditionalFormatting>
  <conditionalFormatting sqref="C19">
    <cfRule type="expression" dxfId="14" priority="17">
      <formula>"'=mod(ligne();2)+1=1"</formula>
    </cfRule>
  </conditionalFormatting>
  <conditionalFormatting sqref="C26">
    <cfRule type="expression" dxfId="13" priority="16">
      <formula>"'=mod(ligne();2)+1=1"</formula>
    </cfRule>
  </conditionalFormatting>
  <conditionalFormatting sqref="C18">
    <cfRule type="expression" dxfId="12" priority="15">
      <formula>"'=mod(ligne();2)+1=1"</formula>
    </cfRule>
  </conditionalFormatting>
  <conditionalFormatting sqref="C24">
    <cfRule type="expression" dxfId="11" priority="14">
      <formula>"'=mod(ligne();2)+1=1"</formula>
    </cfRule>
  </conditionalFormatting>
  <conditionalFormatting sqref="C25">
    <cfRule type="expression" dxfId="10" priority="12">
      <formula>"'=mod(ligne();2)+1=1"</formula>
    </cfRule>
  </conditionalFormatting>
  <conditionalFormatting sqref="L17">
    <cfRule type="expression" dxfId="9" priority="10">
      <formula>"'=mod(ligne();2)+1=1"</formula>
    </cfRule>
  </conditionalFormatting>
  <conditionalFormatting sqref="L18">
    <cfRule type="expression" dxfId="8" priority="9">
      <formula>"'=mod(ligne();2)+1=1"</formula>
    </cfRule>
  </conditionalFormatting>
  <conditionalFormatting sqref="L19">
    <cfRule type="expression" dxfId="7" priority="8">
      <formula>"'=mod(ligne();2)+1=1"</formula>
    </cfRule>
  </conditionalFormatting>
  <conditionalFormatting sqref="L20">
    <cfRule type="expression" dxfId="6" priority="7">
      <formula>"'=mod(ligne();2)+1=1"</formula>
    </cfRule>
  </conditionalFormatting>
  <conditionalFormatting sqref="L23">
    <cfRule type="expression" dxfId="5" priority="6">
      <formula>"'=mod(ligne();2)+1=1"</formula>
    </cfRule>
  </conditionalFormatting>
  <conditionalFormatting sqref="L26">
    <cfRule type="expression" dxfId="4" priority="5">
      <formula>"'=mod(ligne();2)+1=1"</formula>
    </cfRule>
  </conditionalFormatting>
  <conditionalFormatting sqref="L21">
    <cfRule type="expression" dxfId="3" priority="4">
      <formula>"'=mod(ligne();2)+1=1"</formula>
    </cfRule>
  </conditionalFormatting>
  <conditionalFormatting sqref="L22">
    <cfRule type="expression" dxfId="2" priority="3">
      <formula>"'=mod(ligne();2)+1=1"</formula>
    </cfRule>
  </conditionalFormatting>
  <conditionalFormatting sqref="L24">
    <cfRule type="expression" dxfId="1" priority="2">
      <formula>"'=mod(ligne();2)+1=1"</formula>
    </cfRule>
  </conditionalFormatting>
  <conditionalFormatting sqref="L25">
    <cfRule type="expression" dxfId="0" priority="1">
      <formula>"'=mod(ligne();2)+1=1"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"/>
  <sheetViews>
    <sheetView tabSelected="1" workbookViewId="0">
      <selection activeCell="A4" sqref="A4:C4"/>
    </sheetView>
  </sheetViews>
  <sheetFormatPr defaultRowHeight="14.5" x14ac:dyDescent="0.35"/>
  <sheetData>
    <row r="1" spans="1:11" ht="87" x14ac:dyDescent="0.35">
      <c r="A1" s="10"/>
      <c r="B1" s="10"/>
      <c r="C1" s="10"/>
      <c r="D1" s="6"/>
      <c r="E1" s="8"/>
      <c r="K1" s="9"/>
    </row>
    <row r="2" spans="1:11" ht="87" x14ac:dyDescent="0.35">
      <c r="A2" s="10"/>
      <c r="B2" s="10"/>
      <c r="C2" s="10"/>
      <c r="D2" s="6"/>
      <c r="E2" s="8"/>
      <c r="F2" s="8"/>
      <c r="G2" s="8"/>
      <c r="J2" s="8"/>
    </row>
    <row r="3" spans="1:11" ht="87" x14ac:dyDescent="0.35">
      <c r="A3" s="10"/>
      <c r="B3" s="10"/>
      <c r="C3" s="10"/>
      <c r="D3" s="6"/>
      <c r="E3" s="8"/>
      <c r="J3" s="7"/>
    </row>
    <row r="4" spans="1:11" x14ac:dyDescent="0.35">
      <c r="A4" s="11" t="s">
        <v>108</v>
      </c>
      <c r="B4" s="12"/>
      <c r="C4" s="12"/>
      <c r="D4" s="5"/>
    </row>
    <row r="5" spans="1:11" x14ac:dyDescent="0.35">
      <c r="A5" s="13"/>
      <c r="B5" s="13"/>
      <c r="C5" s="13"/>
      <c r="E5" s="7"/>
    </row>
  </sheetData>
  <mergeCells count="2">
    <mergeCell ref="A4:C4"/>
    <mergeCell ref="A5:C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Sheet1</vt:lpstr>
      <vt:lpstr>Sheet3</vt:lpstr>
      <vt:lpstr>Activité</vt:lpstr>
      <vt:lpstr>Allocation</vt:lpstr>
      <vt:lpstr>Code</vt:lpstr>
      <vt:lpstr>CodeSession</vt:lpstr>
      <vt:lpstr>Crédits</vt:lpstr>
      <vt:lpstr>cycle</vt:lpstr>
      <vt:lpstr>faculté</vt:lpstr>
      <vt:lpstr>Nb.étud.</vt:lpstr>
      <vt:lpstr>Nom</vt:lpstr>
      <vt:lpstr>Remarque</vt:lpstr>
      <vt:lpstr>section</vt:lpstr>
      <vt:lpstr>Statut</vt:lpstr>
      <vt:lpstr>Titre</vt:lpstr>
      <vt:lpstr>Unité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</dc:creator>
  <cp:lastModifiedBy>Sebas</cp:lastModifiedBy>
  <dcterms:created xsi:type="dcterms:W3CDTF">2015-10-10T17:59:13Z</dcterms:created>
  <dcterms:modified xsi:type="dcterms:W3CDTF">2015-10-12T20:23:11Z</dcterms:modified>
</cp:coreProperties>
</file>